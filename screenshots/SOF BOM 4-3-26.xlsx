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trolsco-my.sharepoint.com/personal/tim_controlsco_net/Documents/"/>
    </mc:Choice>
  </mc:AlternateContent>
  <xr:revisionPtr revIDLastSave="0" documentId="8_{0B283CE9-D856-4F26-93D0-0AA308378EDF}" xr6:coauthVersionLast="47" xr6:coauthVersionMax="47" xr10:uidLastSave="{00000000-0000-0000-0000-000000000000}"/>
  <bookViews>
    <workbookView xWindow="-98" yWindow="-98" windowWidth="24196" windowHeight="14476" xr2:uid="{A11274F1-B908-448B-95A0-D85183843E20}"/>
  </bookViews>
  <sheets>
    <sheet name="BO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2" l="1"/>
  <c r="F53" i="2"/>
  <c r="F52" i="2"/>
  <c r="F51" i="2"/>
  <c r="F50" i="2"/>
  <c r="F49" i="2"/>
  <c r="F48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<sst xmlns="http://schemas.openxmlformats.org/spreadsheetml/2006/main" count="187" uniqueCount="166">
  <si>
    <t>M9220-GGC-3</t>
  </si>
  <si>
    <t>M9220-BGC-3</t>
  </si>
  <si>
    <t>DP110050U3V3V</t>
  </si>
  <si>
    <t>UPSPNL550-0</t>
  </si>
  <si>
    <t>UPS</t>
  </si>
  <si>
    <t>TE-6001-8</t>
  </si>
  <si>
    <t>PSH500AB10-LVC</t>
  </si>
  <si>
    <t>DP1402X5U11C</t>
  </si>
  <si>
    <t>PAN-96VAXFR-0</t>
  </si>
  <si>
    <t>SH2B-05</t>
  </si>
  <si>
    <t>SH3B-05</t>
  </si>
  <si>
    <t>RR20YN</t>
  </si>
  <si>
    <t>MODUS -SD-01</t>
  </si>
  <si>
    <t>RIBMNLB-4</t>
  </si>
  <si>
    <t>RPS</t>
  </si>
  <si>
    <t>RIBMNLB-2</t>
  </si>
  <si>
    <t>P2ABN-AG001NA1</t>
  </si>
  <si>
    <t>16X20 PANEL</t>
  </si>
  <si>
    <t>PA0000001AH0</t>
  </si>
  <si>
    <t>TE-6300W-110</t>
  </si>
  <si>
    <t>RIBMNLB-6</t>
  </si>
  <si>
    <t>FTG18A-600R</t>
  </si>
  <si>
    <t>ESM-M1S-PP0-BS</t>
  </si>
  <si>
    <t>TE-6312P-1G</t>
  </si>
  <si>
    <t>DINRAIL</t>
  </si>
  <si>
    <t>PANDUIT</t>
  </si>
  <si>
    <t>DESIGNATION</t>
  </si>
  <si>
    <t>TOTAL QTY.</t>
  </si>
  <si>
    <t>CODE NUMBER.</t>
  </si>
  <si>
    <t>DESCRIPTION</t>
  </si>
  <si>
    <t>QTY. RECEIVED</t>
  </si>
  <si>
    <t>EF-2. ZN-P</t>
  </si>
  <si>
    <t>A-306-K</t>
  </si>
  <si>
    <t>OUTDOOR AIR STATIC</t>
  </si>
  <si>
    <t>LT-A</t>
  </si>
  <si>
    <t>A70HA-1G</t>
  </si>
  <si>
    <t>15/55F, DIFF 5 FIXED,1NO/1NC MAIN OPEN LOW,1/8 X 20' BULB,</t>
  </si>
  <si>
    <t>HSP</t>
  </si>
  <si>
    <t>AFS-460</t>
  </si>
  <si>
    <t>DIFFERENTIAL PRESSURE SWITCH, 0.06-12 WC, ADJUSTABLE, SPST</t>
  </si>
  <si>
    <t>SFx-S</t>
  </si>
  <si>
    <t>CSDSC-C50100L0</t>
  </si>
  <si>
    <t>CURR SW SELF CAL CLMP 0.50A-100A</t>
  </si>
  <si>
    <t>Ct w/Relay</t>
  </si>
  <si>
    <t>CSDSC-C50100L1</t>
  </si>
  <si>
    <t>CURR SW SELF CAL CLMP 0.50A-100A RLY OPT 24V NO</t>
  </si>
  <si>
    <t>Wet DP</t>
  </si>
  <si>
    <t>0 TO 50 PSID, UNIDIRECTIONAL 3-VALVE MANIFOLD, 0.05-10.05 VDC</t>
  </si>
  <si>
    <t>DASP Sensor 2/3</t>
  </si>
  <si>
    <t>DP140005U11C</t>
  </si>
  <si>
    <t>UNIDIRECTIONAL 0 TO 5IN. W.C. 0 TO 5 VDC</t>
  </si>
  <si>
    <t>FFILT DP</t>
  </si>
  <si>
    <t>UNIDIRECTIONAL 0 TO 2.5IN. W.C. 0 TO 5 VDC</t>
  </si>
  <si>
    <t>DP140X25B11C</t>
  </si>
  <si>
    <t>BIDIRECTIONAL + OR -0.25IN. W.C. 0 TO 5 VDC</t>
  </si>
  <si>
    <t>E-Stop</t>
  </si>
  <si>
    <t>PUSH-PULL N1 SURFACE BOILER SHUT-DOWN</t>
  </si>
  <si>
    <t>ESM-M1S-PP0-HS</t>
  </si>
  <si>
    <t xml:space="preserve">PUSH-PULL N1 SURFACE HVAC SHUT-DOWN </t>
  </si>
  <si>
    <t>Flow Meter</t>
  </si>
  <si>
    <t>F-1134-10-00-32</t>
  </si>
  <si>
    <t>FLOW METER INLINE TURB AO</t>
  </si>
  <si>
    <t>Duct Air Probe</t>
  </si>
  <si>
    <t>SENSING TUBE KIT FOR P32</t>
  </si>
  <si>
    <t>RA-T,-H</t>
  </si>
  <si>
    <t>HE-69130NP-0</t>
  </si>
  <si>
    <t>DUCT PROBE, 3%RH, NI TEMP</t>
  </si>
  <si>
    <t>Flow Meter Kit</t>
  </si>
  <si>
    <t>INSTL0001-FMD</t>
  </si>
  <si>
    <t>INSTALL KIT, CS, 1.25-42</t>
  </si>
  <si>
    <t>CVM</t>
  </si>
  <si>
    <t>M4-CVM03050-0PG</t>
  </si>
  <si>
    <t>AMERICAN  8PT  CNTL  VAV,  ACT  W/  INT  POS  FDBK,  DPT,  3UI, 2CO, 3B</t>
  </si>
  <si>
    <t>EAD1&amp;2-ES</t>
  </si>
  <si>
    <t>20 NM SR DPR ACT ON-OFF 24 VAC 50/60 2 end switches</t>
  </si>
  <si>
    <t>OAD-O,-POS</t>
  </si>
  <si>
    <t>M9220-GGA-3G</t>
  </si>
  <si>
    <t>ACT 24 VAC/VDC 0-10 VDC</t>
  </si>
  <si>
    <t>RAD-O,-POS,-ES</t>
  </si>
  <si>
    <t>20 NM SR DPR ACT 0(2) TO 10 VDC 24 VAC 50/60 HZ 24 VDC 2 end switches</t>
  </si>
  <si>
    <t>DOOR-SW</t>
  </si>
  <si>
    <t>MC-4MV</t>
  </si>
  <si>
    <t>DOOR STATUS MAGNETIC SWITCH, MORTISE PLATE, SINGLE</t>
  </si>
  <si>
    <t>ZN-T,-SP,-CO2</t>
  </si>
  <si>
    <t>NSB8BTC040-0G</t>
  </si>
  <si>
    <t>NETWORK   SENSOR,   3X4.5   MS/TP,   TEMP,   CO2,NO   DISPLAY, WHITE, LOG</t>
  </si>
  <si>
    <t>PFILT-S</t>
  </si>
  <si>
    <t>P32AC-2C</t>
  </si>
  <si>
    <t>DIFF AIR PRESSURE SWITCH;SPDT, .05/5'WC, ADJ. SETPOINT,</t>
  </si>
  <si>
    <t>VAV - TXP-1</t>
  </si>
  <si>
    <t>ENCLOSED    500VA    POWER    SUPPLY,    HIGH/LOW    VOLTAGE</t>
  </si>
  <si>
    <t>IC Relay Base</t>
  </si>
  <si>
    <t>RH2B-ULAC24V</t>
  </si>
  <si>
    <t>RH SERIES DPDT PLUG-IN GENERAL PURPOSE RELAY WITH</t>
  </si>
  <si>
    <t>RH3B-ULAC24V</t>
  </si>
  <si>
    <t>RH SERIES 3PDT PLUG-IN GENERAL PURPOSE RELAY WITH INDICATOR -</t>
  </si>
  <si>
    <t>SRB-x</t>
  </si>
  <si>
    <t>2.75 TRACK MOUNT AHU FAN SAFETY ALARM AND GENERAL</t>
  </si>
  <si>
    <t>ROOM PRESSURE SENSOR</t>
  </si>
  <si>
    <t>Relay</t>
  </si>
  <si>
    <t>RR10NN</t>
  </si>
  <si>
    <t>PILOT RELAY, 10A, SPDT</t>
  </si>
  <si>
    <t>AHU-2, UV-C,-S</t>
  </si>
  <si>
    <t>POWER RELAY, 20A, SPDT, GO/NO CURRENT SWITCH</t>
  </si>
  <si>
    <t>SD-01</t>
  </si>
  <si>
    <t>SURGE DAMPENER</t>
  </si>
  <si>
    <t>Ice Cube Relay</t>
  </si>
  <si>
    <t>RELAY SOCKET DIN MOUNT SCREW TERMINAL USED WITH</t>
  </si>
  <si>
    <t>RELAY SOCKET DIN MOUNT SCREW TERMINAL USED WITH RH3B</t>
  </si>
  <si>
    <t>ATFP-S</t>
  </si>
  <si>
    <t>SS2021HV-EN</t>
  </si>
  <si>
    <t>STI RED INDOOR ONLY FLUSH OR
SURFACE TURN-TO-RESET STOPPER ST</t>
  </si>
  <si>
    <t>Moonie</t>
  </si>
  <si>
    <t>AVER ELEMENT HLDR QTY =10</t>
  </si>
  <si>
    <t>Insertion Well</t>
  </si>
  <si>
    <t>THERMOWELL. 8 STAINLESS STEEL 1/2 NPT ADAPTER MOUNT</t>
  </si>
  <si>
    <t>Duct Temp Sensor</t>
  </si>
  <si>
    <t>TE-6311M-1G</t>
  </si>
  <si>
    <t>8" probe TE-6311M-1G</t>
  </si>
  <si>
    <t>Well Temp Sensor</t>
  </si>
  <si>
    <t>water TEMP SENSOR;</t>
  </si>
  <si>
    <t>OA Temp Sensor</t>
  </si>
  <si>
    <t>TE-6313P-1G</t>
  </si>
  <si>
    <t>TEMP SENSOR;</t>
  </si>
  <si>
    <t>Avg Duct Temp Sensor</t>
  </si>
  <si>
    <t>TE-6315M-1G</t>
  </si>
  <si>
    <t>DA-T</t>
  </si>
  <si>
    <t>TE-631GV-2G</t>
  </si>
  <si>
    <t>DUCT PROBE TEMP SENSOR 1K NICKEL SENSOR 4IN PROBE</t>
  </si>
  <si>
    <t>DAMPER TX-1</t>
  </si>
  <si>
    <t>Y65T31-0G</t>
  </si>
  <si>
    <t>Panel Devices:</t>
  </si>
  <si>
    <t>CGM</t>
  </si>
  <si>
    <t>M4-CGM09090-0G</t>
  </si>
  <si>
    <t>18 PT CNTL GENPURP, 7 UI, 2 BI, 4 CO, 2 AO, 3 BO, MS/TP, BUY</t>
  </si>
  <si>
    <t>HWS-CP,AHU-CP</t>
  </si>
  <si>
    <t>PA0000002BH0</t>
  </si>
  <si>
    <t>EXP PANEL 6X24X36 W/10 PO</t>
  </si>
  <si>
    <t>CHWS-CP</t>
  </si>
  <si>
    <t>EXP PANEL 6X20X24 W/5 POI</t>
  </si>
  <si>
    <t>TX-2</t>
  </si>
  <si>
    <t>PANEL, 96VA TRANSFORMER K</t>
  </si>
  <si>
    <t>ASSY, UPS 14X16X6 W/DP</t>
  </si>
  <si>
    <t>XPM</t>
  </si>
  <si>
    <t>M4-XPM09090-0G</t>
  </si>
  <si>
    <t>AMERICAN 18 PT INPUT/OUTPUT EXPANSION MODULE, 7 UI,2,BI,4 CO,</t>
  </si>
  <si>
    <t>M4-XPM18000-0G</t>
  </si>
  <si>
    <t>18 BINARY INPUT EXPANSION MODULE, BUY AMERICAN</t>
  </si>
  <si>
    <t>Devices:</t>
  </si>
  <si>
    <t>B1ISOV-C,-ES</t>
  </si>
  <si>
    <t>VALVE</t>
  </si>
  <si>
    <t>REFER VALVE SCHEDULE</t>
  </si>
  <si>
    <t>HHWBYPV-O,POS</t>
  </si>
  <si>
    <t>CHWBYPV-O</t>
  </si>
  <si>
    <t>HHWP-x-VFD</t>
  </si>
  <si>
    <t>VFD</t>
  </si>
  <si>
    <t>REFER VFD SCHEDULE</t>
  </si>
  <si>
    <t>OA-F</t>
  </si>
  <si>
    <t>Flow Station</t>
  </si>
  <si>
    <t>REFER AFMS SCHEDULE</t>
  </si>
  <si>
    <t>VAV - HTG-O,-POS</t>
  </si>
  <si>
    <t>SEE VALVE SCHEDULE</t>
  </si>
  <si>
    <t>Extra items Received</t>
  </si>
  <si>
    <t>Extra item</t>
  </si>
  <si>
    <t>Field Devices:</t>
  </si>
  <si>
    <r>
      <rPr>
        <b/>
        <sz val="14"/>
        <color rgb="FFFF0000"/>
        <rFont val="Aptos Narrow"/>
        <family val="2"/>
      </rPr>
      <t>REMAIN</t>
    </r>
    <r>
      <rPr>
        <b/>
        <sz val="14"/>
        <color rgb="FF000000"/>
        <rFont val="Aptos Narrow"/>
        <family val="2"/>
      </rPr>
      <t>/SURPLUS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</si>
</sst>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0" x14ac:knownFonts="1">
    <font>
      <sz val="11"/>
      <color theme="1"/>
      <name val="Aptos Narrow"/>
      <family val="2"/>
      <scheme val="minor"/>
    </font>
    <font>
      <sz val="10"/>
      <name val="Aptos Narrow"/>
      <family val="2"/>
    </font>
    <font>
      <sz val="10"/>
      <color rgb="FF000000"/>
      <name val="Times New Roman"/>
      <family val="1"/>
    </font>
    <font>
      <sz val="10"/>
      <color rgb="FF000000"/>
      <name val="Aptos Narrow"/>
      <family val="2"/>
    </font>
    <font>
      <sz val="7"/>
      <color rgb="FF000000"/>
      <name val="Arial"/>
      <family val="2"/>
    </font>
    <font>
      <sz val="7"/>
      <name val="Arial"/>
      <family val="2"/>
    </font>
    <font>
      <b/>
      <sz val="10"/>
      <color rgb="FF000000"/>
      <name val="Times New Roman"/>
      <family val="1"/>
    </font>
    <font>
      <b/>
      <sz val="14"/>
      <name val="Aptos Narrow"/>
      <family val="2"/>
    </font>
    <font>
      <b/>
      <sz val="14"/>
      <color rgb="FF000000"/>
      <name val="Aptos Narrow"/>
      <family val="2"/>
    </font>
    <font>
      <b/>
      <sz val="14"/>
      <color rgb="FFFF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2" fillId="0" borderId="0" xfId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164" fontId="2" fillId="0" borderId="1" xfId="1" applyNumberFormat="1" applyBorder="1" applyAlignment="1">
      <alignment horizontal="center" vertical="center"/>
    </xf>
    <xf numFmtId="1" fontId="3" fillId="0" borderId="2" xfId="1" applyNumberFormat="1" applyFont="1" applyBorder="1" applyAlignment="1">
      <alignment horizontal="center" vertical="center"/>
    </xf>
    <xf numFmtId="0" fontId="1" fillId="0" borderId="1" xfId="1" applyFont="1" applyBorder="1" applyAlignment="1">
      <alignment horizontal="left" vertical="center" wrapText="1"/>
    </xf>
    <xf numFmtId="0" fontId="1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0" xfId="1" applyFont="1"/>
    <xf numFmtId="0" fontId="1" fillId="0" borderId="2" xfId="1" applyFont="1" applyBorder="1" applyAlignment="1">
      <alignment horizontal="center" vertical="center"/>
    </xf>
    <xf numFmtId="0" fontId="1" fillId="0" borderId="0" xfId="1" applyFont="1" applyAlignment="1">
      <alignment vertical="center"/>
    </xf>
    <xf numFmtId="0" fontId="1" fillId="0" borderId="0" xfId="1" applyFont="1" applyAlignment="1">
      <alignment horizontal="center" vertical="top" wrapText="1"/>
    </xf>
    <xf numFmtId="1" fontId="3" fillId="0" borderId="0" xfId="1" applyNumberFormat="1" applyFont="1" applyAlignment="1">
      <alignment horizontal="center" vertical="top"/>
    </xf>
    <xf numFmtId="0" fontId="1" fillId="0" borderId="0" xfId="1" applyFont="1" applyAlignment="1">
      <alignment horizontal="left" vertical="top" wrapText="1"/>
    </xf>
    <xf numFmtId="164" fontId="2" fillId="0" borderId="0" xfId="1" applyNumberForma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2" fillId="0" borderId="0" xfId="1" applyAlignment="1">
      <alignment horizontal="left" vertical="center"/>
    </xf>
    <xf numFmtId="0" fontId="1" fillId="0" borderId="1" xfId="1" applyFont="1" applyBorder="1" applyAlignment="1">
      <alignment horizontal="center" vertical="top" wrapText="1"/>
    </xf>
    <xf numFmtId="1" fontId="3" fillId="0" borderId="1" xfId="1" applyNumberFormat="1" applyFont="1" applyBorder="1" applyAlignment="1">
      <alignment horizontal="center" vertical="top"/>
    </xf>
    <xf numFmtId="0" fontId="1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0" fontId="6" fillId="2" borderId="1" xfId="1" applyFont="1" applyFill="1" applyBorder="1" applyAlignment="1">
      <alignment horizontal="left" vertical="center"/>
    </xf>
    <xf numFmtId="164" fontId="6" fillId="2" borderId="1" xfId="1" applyNumberFormat="1" applyFont="1" applyFill="1" applyBorder="1" applyAlignment="1">
      <alignment horizontal="left" vertical="center"/>
    </xf>
    <xf numFmtId="0" fontId="1" fillId="0" borderId="0" xfId="1" applyFont="1" applyBorder="1" applyAlignment="1">
      <alignment horizontal="center" vertical="center"/>
    </xf>
    <xf numFmtId="1" fontId="3" fillId="0" borderId="0" xfId="1" applyNumberFormat="1" applyFont="1" applyBorder="1" applyAlignment="1">
      <alignment horizontal="center" vertical="center"/>
    </xf>
    <xf numFmtId="0" fontId="1" fillId="0" borderId="0" xfId="1" applyFont="1" applyBorder="1" applyAlignment="1">
      <alignment horizontal="left" vertical="center" wrapText="1"/>
    </xf>
    <xf numFmtId="0" fontId="2" fillId="0" borderId="0" xfId="1" applyBorder="1" applyAlignment="1">
      <alignment horizontal="center" vertical="center"/>
    </xf>
    <xf numFmtId="164" fontId="2" fillId="0" borderId="0" xfId="1" applyNumberFormat="1" applyBorder="1" applyAlignment="1">
      <alignment horizontal="center" vertical="center"/>
    </xf>
    <xf numFmtId="0" fontId="7" fillId="0" borderId="1" xfId="1" applyFont="1" applyBorder="1" applyAlignment="1">
      <alignment horizontal="left" wrapText="1"/>
    </xf>
    <xf numFmtId="0" fontId="7" fillId="0" borderId="2" xfId="1" applyFont="1" applyBorder="1" applyAlignment="1">
      <alignment horizontal="left" wrapText="1"/>
    </xf>
    <xf numFmtId="0" fontId="8" fillId="0" borderId="1" xfId="1" applyFont="1" applyBorder="1" applyAlignment="1">
      <alignment horizontal="left"/>
    </xf>
    <xf numFmtId="164" fontId="8" fillId="0" borderId="1" xfId="1" applyNumberFormat="1" applyFont="1" applyBorder="1" applyAlignment="1">
      <alignment horizontal="left"/>
    </xf>
  </cellXfs>
  <cellStyles count="2">
    <cellStyle name="Normal" xfId="0" builtinId="0"/>
    <cellStyle name="Normal 2" xfId="1" xr:uid="{E716B73E-EA42-47B8-9B78-34FA608F91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146F-1EDE-4483-953C-C478E01F6C19}">
  <dimension ref="A1:I68"/>
  <sheetViews>
    <sheetView tabSelected="1" zoomScale="85" zoomScaleNormal="85" workbookViewId="0">
      <selection activeCell="F5" sqref="F5"/>
    </sheetView>
  </sheetViews>
  <sheetFormatPr defaultColWidth="8.73046875" defaultRowHeight="13.15" x14ac:dyDescent="0.45"/>
  <cols>
    <col min="1" max="1" width="17.33203125" style="1" bestFit="1" customWidth="1"/>
    <col min="2" max="2" width="12.53125" style="1" bestFit="1" customWidth="1"/>
    <col min="3" max="3" width="17.3984375" style="1" bestFit="1" customWidth="1"/>
    <col min="4" max="4" width="56.86328125" style="20" bestFit="1" customWidth="1"/>
    <col min="5" max="5" width="16.59765625" style="1" bestFit="1" customWidth="1"/>
    <col min="6" max="6" width="19.9296875" style="16" bestFit="1" customWidth="1"/>
    <col min="7" max="7" width="82.59765625" style="1" customWidth="1"/>
    <col min="8" max="16384" width="8.73046875" style="1"/>
  </cols>
  <sheetData>
    <row r="1" spans="1:6" ht="18" x14ac:dyDescent="0.55000000000000004">
      <c r="A1" s="33" t="s">
        <v>26</v>
      </c>
      <c r="B1" s="34" t="s">
        <v>27</v>
      </c>
      <c r="C1" s="33" t="s">
        <v>28</v>
      </c>
      <c r="D1" s="33" t="s">
        <v>29</v>
      </c>
      <c r="E1" s="35" t="s">
        <v>30</v>
      </c>
      <c r="F1" s="36" t="s">
        <v>165</v>
      </c>
    </row>
    <row r="2" spans="1:6" ht="11.35" customHeight="1" x14ac:dyDescent="0.45">
      <c r="A2" s="26" t="s">
        <v>164</v>
      </c>
      <c r="B2" s="26"/>
      <c r="C2" s="26"/>
      <c r="D2" s="26"/>
      <c r="E2" s="26"/>
      <c r="F2" s="27"/>
    </row>
    <row r="3" spans="1:6" ht="11.35" customHeight="1" x14ac:dyDescent="0.45">
      <c r="A3" s="3" t="s">
        <v>31</v>
      </c>
      <c r="B3" s="6">
        <v>1</v>
      </c>
      <c r="C3" s="3" t="s">
        <v>32</v>
      </c>
      <c r="D3" s="7" t="s">
        <v>33</v>
      </c>
      <c r="E3" s="4">
        <v>1</v>
      </c>
      <c r="F3" s="5">
        <f>E3-B3</f>
        <v>0</v>
      </c>
    </row>
    <row r="4" spans="1:6" ht="11.35" customHeight="1" x14ac:dyDescent="0.45">
      <c r="A4" s="8" t="s">
        <v>34</v>
      </c>
      <c r="B4" s="6">
        <v>2</v>
      </c>
      <c r="C4" s="8" t="s">
        <v>35</v>
      </c>
      <c r="D4" s="7" t="s">
        <v>36</v>
      </c>
      <c r="E4" s="4"/>
      <c r="F4" s="5">
        <f>E4-B4</f>
        <v>-2</v>
      </c>
    </row>
    <row r="5" spans="1:6" ht="11.35" customHeight="1" x14ac:dyDescent="0.45">
      <c r="A5" s="8" t="s">
        <v>37</v>
      </c>
      <c r="B5" s="6">
        <v>2</v>
      </c>
      <c r="C5" s="8" t="s">
        <v>38</v>
      </c>
      <c r="D5" s="7" t="s">
        <v>39</v>
      </c>
      <c r="E5" s="4">
        <v>2</v>
      </c>
      <c r="F5" s="5">
        <f>E5-B5</f>
        <v>0</v>
      </c>
    </row>
    <row r="6" spans="1:6" ht="11.35" customHeight="1" x14ac:dyDescent="0.45">
      <c r="A6" s="8" t="s">
        <v>40</v>
      </c>
      <c r="B6" s="6">
        <v>16</v>
      </c>
      <c r="C6" s="8" t="s">
        <v>41</v>
      </c>
      <c r="D6" s="7" t="s">
        <v>42</v>
      </c>
      <c r="E6" s="4"/>
      <c r="F6" s="5">
        <f>E6-B6</f>
        <v>-16</v>
      </c>
    </row>
    <row r="7" spans="1:6" ht="11.35" customHeight="1" x14ac:dyDescent="0.45">
      <c r="A7" s="8" t="s">
        <v>43</v>
      </c>
      <c r="B7" s="6">
        <v>8</v>
      </c>
      <c r="C7" s="8" t="s">
        <v>44</v>
      </c>
      <c r="D7" s="7" t="s">
        <v>45</v>
      </c>
      <c r="E7" s="4"/>
      <c r="F7" s="5">
        <f>E7-B7</f>
        <v>-8</v>
      </c>
    </row>
    <row r="8" spans="1:6" ht="11.35" customHeight="1" x14ac:dyDescent="0.45">
      <c r="A8" s="8" t="s">
        <v>46</v>
      </c>
      <c r="B8" s="6">
        <v>8</v>
      </c>
      <c r="C8" s="8" t="s">
        <v>2</v>
      </c>
      <c r="D8" s="7" t="s">
        <v>47</v>
      </c>
      <c r="E8" s="4">
        <v>8</v>
      </c>
      <c r="F8" s="5">
        <f>E8-B8</f>
        <v>0</v>
      </c>
    </row>
    <row r="9" spans="1:6" ht="11.35" customHeight="1" x14ac:dyDescent="0.45">
      <c r="A9" s="9" t="s">
        <v>48</v>
      </c>
      <c r="B9" s="6">
        <v>3</v>
      </c>
      <c r="C9" s="8" t="s">
        <v>49</v>
      </c>
      <c r="D9" s="7" t="s">
        <v>50</v>
      </c>
      <c r="E9" s="4"/>
      <c r="F9" s="5">
        <f>E9-B9</f>
        <v>-3</v>
      </c>
    </row>
    <row r="10" spans="1:6" ht="11.35" customHeight="1" x14ac:dyDescent="0.45">
      <c r="A10" s="8" t="s">
        <v>51</v>
      </c>
      <c r="B10" s="6">
        <v>2</v>
      </c>
      <c r="C10" s="8" t="s">
        <v>7</v>
      </c>
      <c r="D10" s="7" t="s">
        <v>52</v>
      </c>
      <c r="E10" s="4">
        <v>3</v>
      </c>
      <c r="F10" s="5">
        <f>E10-B10</f>
        <v>1</v>
      </c>
    </row>
    <row r="11" spans="1:6" ht="11.35" customHeight="1" x14ac:dyDescent="0.45">
      <c r="A11" s="3" t="s">
        <v>31</v>
      </c>
      <c r="B11" s="6">
        <v>1</v>
      </c>
      <c r="C11" s="3" t="s">
        <v>53</v>
      </c>
      <c r="D11" s="7" t="s">
        <v>54</v>
      </c>
      <c r="E11" s="4"/>
      <c r="F11" s="5">
        <f>E11-B11</f>
        <v>-1</v>
      </c>
    </row>
    <row r="12" spans="1:6" ht="11.35" customHeight="1" x14ac:dyDescent="0.45">
      <c r="A12" s="8" t="s">
        <v>55</v>
      </c>
      <c r="B12" s="6">
        <v>2</v>
      </c>
      <c r="C12" s="8" t="s">
        <v>22</v>
      </c>
      <c r="D12" s="7" t="s">
        <v>56</v>
      </c>
      <c r="E12" s="4">
        <v>1</v>
      </c>
      <c r="F12" s="5">
        <f>E12-B12</f>
        <v>-1</v>
      </c>
    </row>
    <row r="13" spans="1:6" ht="11.35" customHeight="1" x14ac:dyDescent="0.45">
      <c r="A13" s="8" t="s">
        <v>55</v>
      </c>
      <c r="B13" s="6">
        <v>2</v>
      </c>
      <c r="C13" s="8" t="s">
        <v>57</v>
      </c>
      <c r="D13" s="7" t="s">
        <v>58</v>
      </c>
      <c r="E13" s="4"/>
      <c r="F13" s="5">
        <f>E13-B13</f>
        <v>-2</v>
      </c>
    </row>
    <row r="14" spans="1:6" ht="11.35" customHeight="1" x14ac:dyDescent="0.45">
      <c r="A14" s="8" t="s">
        <v>59</v>
      </c>
      <c r="B14" s="6">
        <v>2</v>
      </c>
      <c r="C14" s="8" t="s">
        <v>60</v>
      </c>
      <c r="D14" s="7" t="s">
        <v>61</v>
      </c>
      <c r="E14" s="4"/>
      <c r="F14" s="5">
        <f>E14-B14</f>
        <v>-2</v>
      </c>
    </row>
    <row r="15" spans="1:6" ht="11.35" customHeight="1" x14ac:dyDescent="0.45">
      <c r="A15" s="8" t="s">
        <v>62</v>
      </c>
      <c r="B15" s="6">
        <v>12</v>
      </c>
      <c r="C15" s="8" t="s">
        <v>21</v>
      </c>
      <c r="D15" s="7" t="s">
        <v>63</v>
      </c>
      <c r="E15" s="4">
        <v>16</v>
      </c>
      <c r="F15" s="5">
        <f>E15-B15</f>
        <v>4</v>
      </c>
    </row>
    <row r="16" spans="1:6" ht="11.35" customHeight="1" x14ac:dyDescent="0.45">
      <c r="A16" s="8" t="s">
        <v>64</v>
      </c>
      <c r="B16" s="6">
        <v>1</v>
      </c>
      <c r="C16" s="8" t="s">
        <v>65</v>
      </c>
      <c r="D16" s="7" t="s">
        <v>66</v>
      </c>
      <c r="E16" s="4">
        <v>1</v>
      </c>
      <c r="F16" s="5">
        <f>E16-B16</f>
        <v>0</v>
      </c>
    </row>
    <row r="17" spans="1:9" ht="11.35" customHeight="1" x14ac:dyDescent="0.45">
      <c r="A17" s="9" t="s">
        <v>67</v>
      </c>
      <c r="B17" s="6">
        <v>2</v>
      </c>
      <c r="C17" s="8" t="s">
        <v>68</v>
      </c>
      <c r="D17" s="7" t="s">
        <v>69</v>
      </c>
      <c r="E17" s="4"/>
      <c r="F17" s="5">
        <f>E17-B17</f>
        <v>-2</v>
      </c>
    </row>
    <row r="18" spans="1:9" ht="11.35" customHeight="1" x14ac:dyDescent="0.45">
      <c r="A18" s="8" t="s">
        <v>70</v>
      </c>
      <c r="B18" s="6">
        <v>13</v>
      </c>
      <c r="C18" s="8" t="s">
        <v>71</v>
      </c>
      <c r="D18" s="7" t="s">
        <v>72</v>
      </c>
      <c r="E18" s="4"/>
      <c r="F18" s="5">
        <f>E18-B18</f>
        <v>-13</v>
      </c>
    </row>
    <row r="19" spans="1:9" ht="11.35" customHeight="1" x14ac:dyDescent="0.4">
      <c r="A19" s="3" t="s">
        <v>73</v>
      </c>
      <c r="B19" s="6">
        <v>2</v>
      </c>
      <c r="C19" s="3" t="s">
        <v>1</v>
      </c>
      <c r="D19" s="7" t="s">
        <v>74</v>
      </c>
      <c r="E19" s="4">
        <v>2</v>
      </c>
      <c r="F19" s="5">
        <f>E19-B19</f>
        <v>0</v>
      </c>
      <c r="G19" s="10"/>
    </row>
    <row r="20" spans="1:9" ht="11.35" customHeight="1" x14ac:dyDescent="0.45">
      <c r="A20" s="8" t="s">
        <v>75</v>
      </c>
      <c r="B20" s="6">
        <v>1</v>
      </c>
      <c r="C20" s="8" t="s">
        <v>76</v>
      </c>
      <c r="D20" s="7" t="s">
        <v>77</v>
      </c>
      <c r="E20" s="4"/>
      <c r="F20" s="5">
        <f>E20-B20</f>
        <v>-1</v>
      </c>
    </row>
    <row r="21" spans="1:9" ht="11.35" customHeight="1" x14ac:dyDescent="0.45">
      <c r="A21" s="8" t="s">
        <v>78</v>
      </c>
      <c r="B21" s="6">
        <v>2</v>
      </c>
      <c r="C21" s="8" t="s">
        <v>0</v>
      </c>
      <c r="D21" s="7" t="s">
        <v>79</v>
      </c>
      <c r="E21" s="4">
        <v>2</v>
      </c>
      <c r="F21" s="5">
        <f>E21-B21</f>
        <v>0</v>
      </c>
    </row>
    <row r="22" spans="1:9" ht="11.35" customHeight="1" x14ac:dyDescent="0.45">
      <c r="A22" s="8" t="s">
        <v>80</v>
      </c>
      <c r="B22" s="6">
        <v>1</v>
      </c>
      <c r="C22" s="8" t="s">
        <v>81</v>
      </c>
      <c r="D22" s="7" t="s">
        <v>82</v>
      </c>
      <c r="E22" s="4">
        <v>1</v>
      </c>
      <c r="F22" s="5">
        <f>E22-B22</f>
        <v>0</v>
      </c>
    </row>
    <row r="23" spans="1:9" ht="11.35" customHeight="1" x14ac:dyDescent="0.45">
      <c r="A23" s="8" t="s">
        <v>83</v>
      </c>
      <c r="B23" s="6">
        <v>13</v>
      </c>
      <c r="C23" s="8" t="s">
        <v>84</v>
      </c>
      <c r="D23" s="7" t="s">
        <v>85</v>
      </c>
      <c r="E23" s="4"/>
      <c r="F23" s="5">
        <f>E23-B23</f>
        <v>-13</v>
      </c>
    </row>
    <row r="24" spans="1:9" ht="11.35" customHeight="1" x14ac:dyDescent="0.45">
      <c r="A24" s="8" t="s">
        <v>86</v>
      </c>
      <c r="B24" s="6">
        <v>2</v>
      </c>
      <c r="C24" s="8" t="s">
        <v>87</v>
      </c>
      <c r="D24" s="7" t="s">
        <v>88</v>
      </c>
      <c r="E24" s="4">
        <v>1</v>
      </c>
      <c r="F24" s="5">
        <f>E24-B24</f>
        <v>-1</v>
      </c>
    </row>
    <row r="25" spans="1:9" ht="11.35" customHeight="1" x14ac:dyDescent="0.45">
      <c r="A25" s="8" t="s">
        <v>89</v>
      </c>
      <c r="B25" s="6">
        <v>1</v>
      </c>
      <c r="C25" s="8" t="s">
        <v>6</v>
      </c>
      <c r="D25" s="7" t="s">
        <v>90</v>
      </c>
      <c r="E25" s="4">
        <v>1</v>
      </c>
      <c r="F25" s="5">
        <f>E25-B25</f>
        <v>0</v>
      </c>
    </row>
    <row r="26" spans="1:9" ht="11.35" customHeight="1" x14ac:dyDescent="0.45">
      <c r="A26" s="9" t="s">
        <v>91</v>
      </c>
      <c r="B26" s="6">
        <v>13</v>
      </c>
      <c r="C26" s="8" t="s">
        <v>92</v>
      </c>
      <c r="D26" s="7" t="s">
        <v>93</v>
      </c>
      <c r="E26" s="4">
        <v>12</v>
      </c>
      <c r="F26" s="5">
        <f>E26-B26</f>
        <v>-1</v>
      </c>
    </row>
    <row r="27" spans="1:9" ht="11.35" customHeight="1" x14ac:dyDescent="0.45">
      <c r="A27" s="9" t="s">
        <v>91</v>
      </c>
      <c r="B27" s="6">
        <v>2</v>
      </c>
      <c r="C27" s="8" t="s">
        <v>94</v>
      </c>
      <c r="D27" s="7" t="s">
        <v>95</v>
      </c>
      <c r="E27" s="4">
        <v>2</v>
      </c>
      <c r="F27" s="5">
        <f>E27-B27</f>
        <v>0</v>
      </c>
    </row>
    <row r="28" spans="1:9" ht="11.35" customHeight="1" x14ac:dyDescent="0.45">
      <c r="A28" s="3" t="s">
        <v>96</v>
      </c>
      <c r="B28" s="11">
        <v>1</v>
      </c>
      <c r="C28" s="3" t="s">
        <v>15</v>
      </c>
      <c r="D28" s="7" t="s">
        <v>97</v>
      </c>
      <c r="E28" s="4">
        <v>1</v>
      </c>
      <c r="F28" s="5">
        <f t="shared" ref="F28:F29" si="0">E28-B28</f>
        <v>0</v>
      </c>
    </row>
    <row r="29" spans="1:9" ht="11.35" customHeight="1" x14ac:dyDescent="0.4">
      <c r="A29" s="3" t="s">
        <v>96</v>
      </c>
      <c r="B29" s="11">
        <v>1</v>
      </c>
      <c r="C29" s="3" t="s">
        <v>13</v>
      </c>
      <c r="D29" s="7" t="s">
        <v>97</v>
      </c>
      <c r="E29" s="4">
        <v>1</v>
      </c>
      <c r="F29" s="5">
        <f t="shared" si="0"/>
        <v>0</v>
      </c>
      <c r="G29" s="10"/>
    </row>
    <row r="30" spans="1:9" ht="11.35" customHeight="1" x14ac:dyDescent="0.45">
      <c r="A30" s="3" t="s">
        <v>96</v>
      </c>
      <c r="B30" s="11">
        <v>2</v>
      </c>
      <c r="C30" s="3" t="s">
        <v>20</v>
      </c>
      <c r="D30" s="7" t="s">
        <v>97</v>
      </c>
      <c r="E30" s="4">
        <v>2</v>
      </c>
      <c r="F30" s="5">
        <f>E30-B30</f>
        <v>0</v>
      </c>
      <c r="I30" s="12"/>
    </row>
    <row r="31" spans="1:9" ht="11.35" customHeight="1" x14ac:dyDescent="0.45">
      <c r="A31" s="3" t="s">
        <v>31</v>
      </c>
      <c r="B31" s="6">
        <v>1</v>
      </c>
      <c r="C31" s="3" t="s">
        <v>14</v>
      </c>
      <c r="D31" s="7" t="s">
        <v>98</v>
      </c>
      <c r="E31" s="4">
        <v>1</v>
      </c>
      <c r="F31" s="5">
        <f>E31-B31</f>
        <v>0</v>
      </c>
      <c r="I31" s="12"/>
    </row>
    <row r="32" spans="1:9" ht="11.35" customHeight="1" x14ac:dyDescent="0.45">
      <c r="A32" s="8" t="s">
        <v>99</v>
      </c>
      <c r="B32" s="6">
        <v>8</v>
      </c>
      <c r="C32" s="8" t="s">
        <v>100</v>
      </c>
      <c r="D32" s="7" t="s">
        <v>101</v>
      </c>
      <c r="E32" s="4"/>
      <c r="F32" s="5">
        <f>E32-B32</f>
        <v>-8</v>
      </c>
      <c r="I32" s="12"/>
    </row>
    <row r="33" spans="1:9" ht="11.35" customHeight="1" x14ac:dyDescent="0.45">
      <c r="A33" s="8" t="s">
        <v>102</v>
      </c>
      <c r="B33" s="6">
        <v>1</v>
      </c>
      <c r="C33" s="8" t="s">
        <v>11</v>
      </c>
      <c r="D33" s="7" t="s">
        <v>103</v>
      </c>
      <c r="E33" s="4">
        <v>1</v>
      </c>
      <c r="F33" s="5">
        <f>E33-B33</f>
        <v>0</v>
      </c>
      <c r="I33" s="12"/>
    </row>
    <row r="34" spans="1:9" ht="11.35" customHeight="1" x14ac:dyDescent="0.45">
      <c r="A34" s="3" t="s">
        <v>31</v>
      </c>
      <c r="B34" s="6">
        <v>1</v>
      </c>
      <c r="C34" s="3" t="s">
        <v>104</v>
      </c>
      <c r="D34" s="7" t="s">
        <v>105</v>
      </c>
      <c r="E34" s="4"/>
      <c r="F34" s="5">
        <f>E34-B34</f>
        <v>-1</v>
      </c>
      <c r="I34" s="12"/>
    </row>
    <row r="35" spans="1:9" ht="11.35" customHeight="1" x14ac:dyDescent="0.45">
      <c r="A35" s="8" t="s">
        <v>106</v>
      </c>
      <c r="B35" s="6">
        <v>13</v>
      </c>
      <c r="C35" s="8" t="s">
        <v>9</v>
      </c>
      <c r="D35" s="7" t="s">
        <v>107</v>
      </c>
      <c r="E35" s="4">
        <v>13</v>
      </c>
      <c r="F35" s="5">
        <f>E35-B35</f>
        <v>0</v>
      </c>
      <c r="I35" s="12"/>
    </row>
    <row r="36" spans="1:9" ht="11.35" customHeight="1" x14ac:dyDescent="0.45">
      <c r="A36" s="8" t="s">
        <v>106</v>
      </c>
      <c r="B36" s="6">
        <v>2</v>
      </c>
      <c r="C36" s="8" t="s">
        <v>10</v>
      </c>
      <c r="D36" s="7" t="s">
        <v>108</v>
      </c>
      <c r="E36" s="4">
        <v>2</v>
      </c>
      <c r="F36" s="5">
        <f>E36-B36</f>
        <v>0</v>
      </c>
      <c r="I36" s="12"/>
    </row>
    <row r="37" spans="1:9" ht="11.35" customHeight="1" x14ac:dyDescent="0.45">
      <c r="A37" s="3" t="s">
        <v>109</v>
      </c>
      <c r="B37" s="6">
        <v>1</v>
      </c>
      <c r="C37" s="3" t="s">
        <v>110</v>
      </c>
      <c r="D37" s="7" t="s">
        <v>111</v>
      </c>
      <c r="E37" s="4"/>
      <c r="F37" s="5">
        <f>E37-B37</f>
        <v>-1</v>
      </c>
      <c r="I37" s="12"/>
    </row>
    <row r="38" spans="1:9" ht="11.35" customHeight="1" x14ac:dyDescent="0.45">
      <c r="A38" s="9" t="s">
        <v>112</v>
      </c>
      <c r="B38" s="6">
        <v>16</v>
      </c>
      <c r="C38" s="8" t="s">
        <v>5</v>
      </c>
      <c r="D38" s="7" t="s">
        <v>113</v>
      </c>
      <c r="E38" s="4">
        <v>2</v>
      </c>
      <c r="F38" s="5">
        <f>E38-B38</f>
        <v>-14</v>
      </c>
      <c r="I38" s="12"/>
    </row>
    <row r="39" spans="1:9" ht="11.35" customHeight="1" x14ac:dyDescent="0.45">
      <c r="A39" s="9" t="s">
        <v>114</v>
      </c>
      <c r="B39" s="6">
        <v>14</v>
      </c>
      <c r="C39" s="8" t="s">
        <v>19</v>
      </c>
      <c r="D39" s="7" t="s">
        <v>115</v>
      </c>
      <c r="E39" s="4">
        <v>14</v>
      </c>
      <c r="F39" s="5">
        <f>E39-B39</f>
        <v>0</v>
      </c>
      <c r="I39" s="12"/>
    </row>
    <row r="40" spans="1:9" ht="11.35" customHeight="1" x14ac:dyDescent="0.45">
      <c r="A40" s="8" t="s">
        <v>116</v>
      </c>
      <c r="B40" s="6">
        <v>5</v>
      </c>
      <c r="C40" s="8" t="s">
        <v>117</v>
      </c>
      <c r="D40" s="7" t="s">
        <v>118</v>
      </c>
      <c r="E40" s="4"/>
      <c r="F40" s="5">
        <f>E40-B40</f>
        <v>-5</v>
      </c>
      <c r="I40" s="12"/>
    </row>
    <row r="41" spans="1:9" ht="11.35" customHeight="1" x14ac:dyDescent="0.45">
      <c r="A41" s="8" t="s">
        <v>119</v>
      </c>
      <c r="B41" s="6">
        <v>14</v>
      </c>
      <c r="C41" s="8" t="s">
        <v>23</v>
      </c>
      <c r="D41" s="7" t="s">
        <v>120</v>
      </c>
      <c r="E41" s="4">
        <v>3</v>
      </c>
      <c r="F41" s="5">
        <f>E41-B41</f>
        <v>-11</v>
      </c>
      <c r="I41" s="12"/>
    </row>
    <row r="42" spans="1:9" ht="11.35" customHeight="1" x14ac:dyDescent="0.45">
      <c r="A42" s="8" t="s">
        <v>121</v>
      </c>
      <c r="B42" s="6">
        <v>1</v>
      </c>
      <c r="C42" s="8" t="s">
        <v>122</v>
      </c>
      <c r="D42" s="7" t="s">
        <v>123</v>
      </c>
      <c r="E42" s="4"/>
      <c r="F42" s="5">
        <f>E42-B42</f>
        <v>-1</v>
      </c>
      <c r="I42" s="12"/>
    </row>
    <row r="43" spans="1:9" ht="11.35" customHeight="1" x14ac:dyDescent="0.45">
      <c r="A43" s="8" t="s">
        <v>124</v>
      </c>
      <c r="B43" s="6">
        <v>16</v>
      </c>
      <c r="C43" s="8" t="s">
        <v>125</v>
      </c>
      <c r="D43" s="7" t="s">
        <v>125</v>
      </c>
      <c r="E43" s="4"/>
      <c r="F43" s="5">
        <f>E43-B43</f>
        <v>-16</v>
      </c>
      <c r="I43" s="12"/>
    </row>
    <row r="44" spans="1:9" ht="11.35" customHeight="1" x14ac:dyDescent="0.45">
      <c r="A44" s="8" t="s">
        <v>126</v>
      </c>
      <c r="B44" s="6">
        <v>13</v>
      </c>
      <c r="C44" s="8" t="s">
        <v>127</v>
      </c>
      <c r="D44" s="7" t="s">
        <v>128</v>
      </c>
      <c r="E44" s="4"/>
      <c r="F44" s="5">
        <f>E44-B44</f>
        <v>-13</v>
      </c>
      <c r="I44" s="12"/>
    </row>
    <row r="45" spans="1:9" ht="11.35" customHeight="1" x14ac:dyDescent="0.45">
      <c r="A45" s="3" t="s">
        <v>129</v>
      </c>
      <c r="B45" s="25">
        <v>2</v>
      </c>
      <c r="C45" s="3" t="s">
        <v>130</v>
      </c>
      <c r="D45" s="7" t="s">
        <v>130</v>
      </c>
      <c r="E45" s="4">
        <v>2</v>
      </c>
      <c r="F45" s="5">
        <f>E45-B45</f>
        <v>0</v>
      </c>
      <c r="I45" s="2"/>
    </row>
    <row r="46" spans="1:9" ht="11.35" customHeight="1" x14ac:dyDescent="0.45">
      <c r="A46" s="28"/>
      <c r="B46" s="29"/>
      <c r="C46" s="28"/>
      <c r="D46" s="30"/>
      <c r="E46" s="31"/>
      <c r="F46" s="32"/>
      <c r="I46" s="2"/>
    </row>
    <row r="47" spans="1:9" ht="11.35" customHeight="1" x14ac:dyDescent="0.45">
      <c r="A47" s="26" t="s">
        <v>131</v>
      </c>
      <c r="B47" s="26"/>
      <c r="C47" s="26"/>
      <c r="D47" s="26"/>
      <c r="E47" s="26"/>
      <c r="F47" s="27"/>
      <c r="I47" s="2"/>
    </row>
    <row r="48" spans="1:9" ht="11.35" customHeight="1" x14ac:dyDescent="0.45">
      <c r="A48" s="8" t="s">
        <v>132</v>
      </c>
      <c r="B48" s="6">
        <v>4</v>
      </c>
      <c r="C48" s="8" t="s">
        <v>133</v>
      </c>
      <c r="D48" s="7" t="s">
        <v>134</v>
      </c>
      <c r="E48" s="4"/>
      <c r="F48" s="5">
        <f t="shared" ref="F48:F54" si="1">E48-B48</f>
        <v>-4</v>
      </c>
      <c r="I48" s="2"/>
    </row>
    <row r="49" spans="1:9" ht="11.35" customHeight="1" x14ac:dyDescent="0.45">
      <c r="A49" s="8" t="s">
        <v>135</v>
      </c>
      <c r="B49" s="6">
        <v>3</v>
      </c>
      <c r="C49" s="8" t="s">
        <v>136</v>
      </c>
      <c r="D49" s="7" t="s">
        <v>137</v>
      </c>
      <c r="E49" s="4">
        <v>3</v>
      </c>
      <c r="F49" s="5">
        <f t="shared" si="1"/>
        <v>0</v>
      </c>
      <c r="I49" s="2"/>
    </row>
    <row r="50" spans="1:9" ht="11.35" customHeight="1" x14ac:dyDescent="0.45">
      <c r="A50" s="8" t="s">
        <v>138</v>
      </c>
      <c r="B50" s="6">
        <v>1</v>
      </c>
      <c r="C50" s="8" t="s">
        <v>18</v>
      </c>
      <c r="D50" s="7" t="s">
        <v>139</v>
      </c>
      <c r="E50" s="4">
        <v>1</v>
      </c>
      <c r="F50" s="5">
        <f t="shared" si="1"/>
        <v>0</v>
      </c>
      <c r="I50" s="2"/>
    </row>
    <row r="51" spans="1:9" ht="11.35" customHeight="1" x14ac:dyDescent="0.45">
      <c r="A51" s="3" t="s">
        <v>140</v>
      </c>
      <c r="B51" s="11">
        <v>1</v>
      </c>
      <c r="C51" s="3" t="s">
        <v>8</v>
      </c>
      <c r="D51" s="7" t="s">
        <v>141</v>
      </c>
      <c r="E51" s="4">
        <v>1</v>
      </c>
      <c r="F51" s="5">
        <f t="shared" si="1"/>
        <v>0</v>
      </c>
    </row>
    <row r="52" spans="1:9" ht="11.35" customHeight="1" x14ac:dyDescent="0.45">
      <c r="A52" s="8" t="s">
        <v>4</v>
      </c>
      <c r="B52" s="6">
        <v>4</v>
      </c>
      <c r="C52" s="8" t="s">
        <v>3</v>
      </c>
      <c r="D52" s="7" t="s">
        <v>142</v>
      </c>
      <c r="E52" s="4">
        <v>4</v>
      </c>
      <c r="F52" s="5">
        <f t="shared" si="1"/>
        <v>0</v>
      </c>
    </row>
    <row r="53" spans="1:9" ht="11.35" customHeight="1" x14ac:dyDescent="0.45">
      <c r="A53" s="8" t="s">
        <v>143</v>
      </c>
      <c r="B53" s="6">
        <v>8</v>
      </c>
      <c r="C53" s="8" t="s">
        <v>144</v>
      </c>
      <c r="D53" s="7" t="s">
        <v>145</v>
      </c>
      <c r="E53" s="4"/>
      <c r="F53" s="5">
        <f t="shared" si="1"/>
        <v>-8</v>
      </c>
    </row>
    <row r="54" spans="1:9" ht="11.35" customHeight="1" x14ac:dyDescent="0.45">
      <c r="A54" s="8" t="s">
        <v>143</v>
      </c>
      <c r="B54" s="6">
        <v>2</v>
      </c>
      <c r="C54" s="8" t="s">
        <v>146</v>
      </c>
      <c r="D54" s="7" t="s">
        <v>147</v>
      </c>
      <c r="E54" s="4"/>
      <c r="F54" s="5">
        <f t="shared" si="1"/>
        <v>-2</v>
      </c>
    </row>
    <row r="55" spans="1:9" ht="11.35" customHeight="1" x14ac:dyDescent="0.45">
      <c r="A55" s="13"/>
      <c r="B55" s="14"/>
      <c r="C55" s="13"/>
      <c r="D55" s="15"/>
    </row>
    <row r="56" spans="1:9" ht="11.35" customHeight="1" x14ac:dyDescent="0.45">
      <c r="A56" s="26" t="s">
        <v>148</v>
      </c>
      <c r="B56" s="26"/>
      <c r="C56" s="26"/>
      <c r="D56" s="26"/>
      <c r="E56" s="26"/>
      <c r="F56" s="27"/>
    </row>
    <row r="57" spans="1:9" ht="11.35" customHeight="1" x14ac:dyDescent="0.45">
      <c r="A57" s="21" t="s">
        <v>149</v>
      </c>
      <c r="B57" s="22">
        <v>1</v>
      </c>
      <c r="C57" s="21" t="s">
        <v>150</v>
      </c>
      <c r="D57" s="23" t="s">
        <v>151</v>
      </c>
      <c r="E57" s="4"/>
      <c r="F57" s="5"/>
    </row>
    <row r="58" spans="1:9" ht="11.35" customHeight="1" x14ac:dyDescent="0.45">
      <c r="A58" s="21" t="s">
        <v>152</v>
      </c>
      <c r="B58" s="22">
        <v>5</v>
      </c>
      <c r="C58" s="21" t="s">
        <v>150</v>
      </c>
      <c r="D58" s="23" t="s">
        <v>151</v>
      </c>
      <c r="E58" s="4"/>
      <c r="F58" s="5"/>
    </row>
    <row r="59" spans="1:9" ht="11.35" customHeight="1" x14ac:dyDescent="0.45">
      <c r="A59" s="21" t="s">
        <v>153</v>
      </c>
      <c r="B59" s="22">
        <v>1</v>
      </c>
      <c r="C59" s="21" t="s">
        <v>150</v>
      </c>
      <c r="D59" s="23" t="s">
        <v>151</v>
      </c>
      <c r="E59" s="4"/>
      <c r="F59" s="5"/>
    </row>
    <row r="60" spans="1:9" ht="11.35" customHeight="1" x14ac:dyDescent="0.45">
      <c r="A60" s="21" t="s">
        <v>154</v>
      </c>
      <c r="B60" s="22">
        <v>4</v>
      </c>
      <c r="C60" s="21" t="s">
        <v>155</v>
      </c>
      <c r="D60" s="23" t="s">
        <v>156</v>
      </c>
      <c r="E60" s="4"/>
      <c r="F60" s="5"/>
    </row>
    <row r="61" spans="1:9" ht="11.35" customHeight="1" x14ac:dyDescent="0.45">
      <c r="A61" s="24" t="s">
        <v>157</v>
      </c>
      <c r="B61" s="25">
        <v>2</v>
      </c>
      <c r="C61" s="3" t="s">
        <v>158</v>
      </c>
      <c r="D61" s="7" t="s">
        <v>159</v>
      </c>
      <c r="E61" s="4"/>
      <c r="F61" s="5"/>
    </row>
    <row r="62" spans="1:9" ht="11.35" customHeight="1" x14ac:dyDescent="0.45">
      <c r="A62" s="8" t="s">
        <v>160</v>
      </c>
      <c r="B62" s="22">
        <v>13</v>
      </c>
      <c r="C62" s="21" t="s">
        <v>150</v>
      </c>
      <c r="D62" s="7" t="s">
        <v>161</v>
      </c>
      <c r="E62" s="4"/>
      <c r="F62" s="5"/>
    </row>
    <row r="63" spans="1:9" ht="11.35" customHeight="1" x14ac:dyDescent="0.45">
      <c r="B63" s="17"/>
      <c r="C63" s="18"/>
      <c r="D63" s="19"/>
    </row>
    <row r="64" spans="1:9" ht="11.35" customHeight="1" x14ac:dyDescent="0.45">
      <c r="A64" s="26" t="s">
        <v>162</v>
      </c>
      <c r="B64" s="26"/>
      <c r="C64" s="26"/>
      <c r="D64" s="26"/>
      <c r="E64" s="26"/>
      <c r="F64" s="27"/>
    </row>
    <row r="65" spans="1:6" ht="11.35" customHeight="1" x14ac:dyDescent="0.45">
      <c r="A65" s="8" t="s">
        <v>17</v>
      </c>
      <c r="B65" s="6"/>
      <c r="C65" s="8" t="s">
        <v>16</v>
      </c>
      <c r="D65" s="7" t="s">
        <v>17</v>
      </c>
      <c r="E65" s="4">
        <v>1</v>
      </c>
      <c r="F65" s="5"/>
    </row>
    <row r="66" spans="1:6" ht="11.35" customHeight="1" x14ac:dyDescent="0.45">
      <c r="A66" s="8" t="s">
        <v>163</v>
      </c>
      <c r="B66" s="6"/>
      <c r="C66" s="8" t="s">
        <v>24</v>
      </c>
      <c r="D66" s="7"/>
      <c r="E66" s="4">
        <v>2</v>
      </c>
      <c r="F66" s="5"/>
    </row>
    <row r="67" spans="1:6" ht="11.35" customHeight="1" x14ac:dyDescent="0.45">
      <c r="A67" s="8" t="s">
        <v>163</v>
      </c>
      <c r="B67" s="6"/>
      <c r="C67" s="8" t="s">
        <v>25</v>
      </c>
      <c r="D67" s="7"/>
      <c r="E67" s="4">
        <v>2</v>
      </c>
      <c r="F67" s="5"/>
    </row>
    <row r="68" spans="1:6" x14ac:dyDescent="0.45">
      <c r="A68" s="8" t="s">
        <v>163</v>
      </c>
      <c r="B68" s="6"/>
      <c r="C68" s="8" t="s">
        <v>12</v>
      </c>
      <c r="D68" s="7"/>
      <c r="E68" s="4">
        <v>1</v>
      </c>
      <c r="F6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Collins</dc:creator>
  <cp:lastModifiedBy>Timothy Collins</cp:lastModifiedBy>
  <dcterms:created xsi:type="dcterms:W3CDTF">2026-04-03T14:32:29Z</dcterms:created>
  <dcterms:modified xsi:type="dcterms:W3CDTF">2026-04-03T15:00:19Z</dcterms:modified>
</cp:coreProperties>
</file>