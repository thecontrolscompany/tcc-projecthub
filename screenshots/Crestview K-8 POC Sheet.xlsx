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hyCollins\dev\tcc-projecthub\screenshots\"/>
    </mc:Choice>
  </mc:AlternateContent>
  <xr:revisionPtr revIDLastSave="0" documentId="13_ncr:1_{E64757E3-E731-4563-8706-7902CD41821E}" xr6:coauthVersionLast="47" xr6:coauthVersionMax="47" xr10:uidLastSave="{00000000-0000-0000-0000-000000000000}"/>
  <bookViews>
    <workbookView xWindow="-98" yWindow="-98" windowWidth="24196" windowHeight="14476" xr2:uid="{E4D7E822-F78F-40BE-A967-E9C775C5591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8" i="1"/>
  <c r="D7" i="1"/>
  <c r="D9" i="1"/>
  <c r="D11" i="1"/>
  <c r="D10" i="1"/>
  <c r="D5" i="1"/>
  <c r="D4" i="1"/>
  <c r="C4" i="1"/>
  <c r="C5" i="1"/>
  <c r="C6" i="1"/>
</calcChain>
</file>

<file path=xl/sharedStrings.xml><?xml version="1.0" encoding="utf-8"?>
<sst xmlns="http://schemas.openxmlformats.org/spreadsheetml/2006/main" count="22" uniqueCount="20">
  <si>
    <t>Input %</t>
  </si>
  <si>
    <t>%</t>
  </si>
  <si>
    <t>Remainder</t>
  </si>
  <si>
    <t>Scope</t>
  </si>
  <si>
    <t>Notes</t>
  </si>
  <si>
    <t>AHU's</t>
  </si>
  <si>
    <t>VAV's</t>
  </si>
  <si>
    <t>CHWS</t>
  </si>
  <si>
    <t>HWS</t>
  </si>
  <si>
    <t>Trunk</t>
  </si>
  <si>
    <t>(10) VAV AHU's</t>
  </si>
  <si>
    <t>(6) SZ AHU's</t>
  </si>
  <si>
    <t>(113) VAV's</t>
  </si>
  <si>
    <t>(1) FCU</t>
  </si>
  <si>
    <t>(29) Minisplits</t>
  </si>
  <si>
    <t>(26) EF's</t>
  </si>
  <si>
    <t>Meters</t>
  </si>
  <si>
    <t>Minisplits/ Meters</t>
  </si>
  <si>
    <t>EF's/ FCU</t>
  </si>
  <si>
    <t>Mobilization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</si>
</sst>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9" fontId="0" fillId="0" borderId="0" xfId="0" applyNumberFormat="1"/>
    <xf numFmtId="0" fontId="2" fillId="0" borderId="0" xfId="0" applyFont="1"/>
    <xf numFmtId="9" fontId="2" fillId="0" borderId="0" xfId="1" applyFont="1"/>
    <xf numFmtId="0" fontId="3" fillId="0" borderId="0" xfId="0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5552029876864"/>
          <c:y val="4.7464940668824167E-2"/>
          <c:w val="0.69568822553897181"/>
          <c:h val="0.9050701186623516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F7-4933-9E18-4E1612E6B607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FF7-4933-9E18-4E1612E6B607}"/>
              </c:ext>
            </c:extLst>
          </c:dPt>
          <c:cat>
            <c:strRef>
              <c:f>Sheet1!$B$5:$B$6</c:f>
              <c:strCache>
                <c:ptCount val="2"/>
                <c:pt idx="0">
                  <c:v>%</c:v>
                </c:pt>
                <c:pt idx="1">
                  <c:v>Remainder</c:v>
                </c:pt>
              </c:strCache>
            </c:strRef>
          </c:cat>
          <c:val>
            <c:numRef>
              <c:f>Sheet1!$C$5:$C$6</c:f>
              <c:numCache>
                <c:formatCode>0%</c:formatCode>
                <c:ptCount val="2"/>
                <c:pt idx="0">
                  <c:v>0.628</c:v>
                </c:pt>
                <c:pt idx="1">
                  <c:v>0.372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7-4933-9E18-4E1612E6B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95251</xdr:colOff>
      <xdr:row>15</xdr:row>
      <xdr:rowOff>257175</xdr:rowOff>
    </xdr:from>
    <xdr:to>
      <xdr:col>9</xdr:col>
      <xdr:colOff>514351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1B6406-13D1-BEB6-5027-572788A42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0.40782</cdr:x>
      <cdr:y>0.37674</cdr:y>
    </cdr:from>
    <cdr:to>
      <cdr:x>0.77095</cdr:x>
      <cdr:y>0.64063</cdr:y>
    </cdr:to>
    <cdr:sp macro="" textlink="Sheet1!$C$4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D7D8B47-2D38-2FEE-385D-881F3148EBBD}"/>
            </a:ext>
          </a:extLst>
        </cdr:cNvPr>
        <cdr:cNvSpPr txBox="1"/>
      </cdr:nvSpPr>
      <cdr:spPr>
        <a:xfrm xmlns:a="http://schemas.openxmlformats.org/drawingml/2006/main">
          <a:off x="1390650" y="1033463"/>
          <a:ext cx="1238250" cy="723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5AFCC8E-6955-4409-96EB-5134D7B67447}" type="TxLink">
            <a:rPr lang="en-US" sz="2800" b="0" i="0" u="none" strike="noStrike" kern="1200">
              <a:solidFill>
                <a:srgbClr val="00B050"/>
              </a:solidFill>
              <a:latin typeface="Aptos Narrow"/>
            </a:rPr>
            <a:pPr/>
            <a:t>63%</a:t>
          </a:fld>
          <a:endParaRPr lang="en-US" sz="1200" kern="1200">
            <a:solidFill>
              <a:srgbClr val="00B05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634B-5301-47A5-9CC8-0400380A720D}">
  <dimension ref="B1:P29"/>
  <sheetViews>
    <sheetView tabSelected="1" workbookViewId="0">
      <selection activeCell="D5" sqref="D5"/>
    </sheetView>
  </sheetViews>
  <sheetFormatPr defaultRowHeight="14.25" x14ac:dyDescent="0.45"/>
  <cols>
    <col min="3" max="3" width="18.6640625" customWidth="1"/>
    <col min="4" max="4" width="10.06640625" customWidth="1"/>
    <col min="5" max="5" width="5.6640625" customWidth="1"/>
    <col min="7" max="7" width="31.59765625" customWidth="1"/>
    <col min="8" max="8" width="10.73046875" customWidth="1"/>
    <col min="9" max="9" width="5.3984375" customWidth="1"/>
    <col min="11" max="11" width="16.9296875" customWidth="1"/>
    <col min="13" max="13" width="4.86328125" customWidth="1"/>
    <col min="15" max="15" width="17.19921875" customWidth="1"/>
  </cols>
  <sheetData>
    <row r="1" spans="2:15" x14ac:dyDescent="0.45">
      <c r="H1" s="1"/>
      <c r="K1" s="1"/>
      <c r="O1" s="1"/>
    </row>
    <row r="2" spans="2:15" x14ac:dyDescent="0.45">
      <c r="H2" s="2"/>
      <c r="K2" s="2"/>
      <c r="O2" s="2"/>
    </row>
    <row r="3" spans="2:15" x14ac:dyDescent="0.45">
      <c r="H3" s="2"/>
      <c r="K3" s="2"/>
      <c r="O3" s="2"/>
    </row>
    <row r="4" spans="2:15" ht="21" x14ac:dyDescent="0.65">
      <c r="B4" t="s">
        <v>0</v>
      </c>
      <c r="C4" s="1">
        <f>SUM(D4:D11)%</f>
        <v>0.628</v>
      </c>
      <c r="D4">
        <f>(D15*10)</f>
        <v>10</v>
      </c>
      <c r="G4" s="5" t="s">
        <v>3</v>
      </c>
    </row>
    <row r="5" spans="2:15" ht="21" x14ac:dyDescent="0.65">
      <c r="B5" t="s">
        <v>1</v>
      </c>
      <c r="C5" s="2">
        <f>C4</f>
        <v>0.628</v>
      </c>
      <c r="D5">
        <f>(D16*20)</f>
        <v>8</v>
      </c>
      <c r="G5" s="3" t="s">
        <v>10</v>
      </c>
      <c r="H5" s="3" t="s">
        <v>16</v>
      </c>
      <c r="K5" s="3"/>
      <c r="O5" s="3"/>
    </row>
    <row r="6" spans="2:15" ht="21" x14ac:dyDescent="0.65">
      <c r="B6" t="s">
        <v>2</v>
      </c>
      <c r="C6" s="2">
        <f>1-C5</f>
        <v>0.372</v>
      </c>
      <c r="D6">
        <f>(D17*40)</f>
        <v>24</v>
      </c>
      <c r="G6" s="3" t="s">
        <v>11</v>
      </c>
      <c r="K6" s="3"/>
      <c r="O6" s="3"/>
    </row>
    <row r="7" spans="2:15" ht="21" x14ac:dyDescent="0.65">
      <c r="D7">
        <f>(D18*6)</f>
        <v>5.82</v>
      </c>
      <c r="G7" s="3" t="s">
        <v>12</v>
      </c>
      <c r="K7" s="3"/>
      <c r="O7" s="3"/>
    </row>
    <row r="8" spans="2:15" ht="21" x14ac:dyDescent="0.65">
      <c r="B8" s="1"/>
      <c r="D8">
        <f>D19*4</f>
        <v>3.88</v>
      </c>
      <c r="G8" s="3" t="s">
        <v>7</v>
      </c>
      <c r="K8" s="3"/>
      <c r="O8" s="3"/>
    </row>
    <row r="9" spans="2:15" ht="21" x14ac:dyDescent="0.65">
      <c r="D9">
        <f>D20*3</f>
        <v>1.5</v>
      </c>
      <c r="G9" s="3" t="s">
        <v>8</v>
      </c>
      <c r="K9" s="3"/>
      <c r="O9" s="3"/>
    </row>
    <row r="10" spans="2:15" ht="21" x14ac:dyDescent="0.65">
      <c r="D10">
        <f>D21*5</f>
        <v>3</v>
      </c>
      <c r="G10" s="3" t="s">
        <v>13</v>
      </c>
      <c r="K10" s="3"/>
      <c r="O10" s="3"/>
    </row>
    <row r="11" spans="2:15" ht="21" x14ac:dyDescent="0.65">
      <c r="D11">
        <f>D22*12</f>
        <v>6.6000000000000005</v>
      </c>
      <c r="G11" s="3" t="s">
        <v>14</v>
      </c>
    </row>
    <row r="12" spans="2:15" ht="21" x14ac:dyDescent="0.65">
      <c r="G12" s="3" t="s">
        <v>15</v>
      </c>
    </row>
    <row r="15" spans="2:15" ht="21" x14ac:dyDescent="0.65">
      <c r="B15" s="3" t="s">
        <v>19</v>
      </c>
      <c r="D15" s="4">
        <v>1</v>
      </c>
      <c r="G15" s="5" t="s">
        <v>4</v>
      </c>
    </row>
    <row r="16" spans="2:15" ht="21" x14ac:dyDescent="0.65">
      <c r="B16" s="3" t="s">
        <v>5</v>
      </c>
      <c r="D16" s="4">
        <v>0.4</v>
      </c>
    </row>
    <row r="17" spans="2:16" ht="21" x14ac:dyDescent="0.65">
      <c r="B17" s="3" t="s">
        <v>6</v>
      </c>
      <c r="D17" s="4">
        <v>0.6</v>
      </c>
    </row>
    <row r="18" spans="2:16" ht="21" x14ac:dyDescent="0.65">
      <c r="B18" s="3" t="s">
        <v>7</v>
      </c>
      <c r="D18" s="4">
        <v>0.97</v>
      </c>
    </row>
    <row r="19" spans="2:16" ht="21" x14ac:dyDescent="0.65">
      <c r="B19" s="3" t="s">
        <v>8</v>
      </c>
      <c r="D19" s="4">
        <v>0.97</v>
      </c>
    </row>
    <row r="20" spans="2:16" ht="21" x14ac:dyDescent="0.65">
      <c r="B20" s="3" t="s">
        <v>9</v>
      </c>
      <c r="D20" s="4">
        <v>0.5</v>
      </c>
      <c r="F20" s="3"/>
      <c r="H20" s="4"/>
      <c r="J20" s="3"/>
      <c r="L20" s="4"/>
      <c r="N20" s="3"/>
      <c r="P20" s="4"/>
    </row>
    <row r="21" spans="2:16" ht="21" x14ac:dyDescent="0.65">
      <c r="B21" s="3" t="s">
        <v>18</v>
      </c>
      <c r="D21" s="4">
        <v>0.6</v>
      </c>
      <c r="F21" s="3"/>
      <c r="H21" s="4"/>
      <c r="J21" s="3"/>
      <c r="L21" s="4"/>
      <c r="N21" s="3"/>
      <c r="P21" s="4"/>
    </row>
    <row r="22" spans="2:16" ht="21" x14ac:dyDescent="0.65">
      <c r="B22" s="3" t="s">
        <v>17</v>
      </c>
      <c r="D22" s="4">
        <v>0.55000000000000004</v>
      </c>
      <c r="F22" s="3"/>
      <c r="H22" s="4"/>
      <c r="J22" s="3"/>
      <c r="L22" s="4"/>
      <c r="N22" s="3"/>
      <c r="P22" s="4"/>
    </row>
    <row r="23" spans="2:16" ht="21" x14ac:dyDescent="0.65">
      <c r="F23" s="3"/>
      <c r="H23" s="4"/>
      <c r="J23" s="3"/>
      <c r="L23" s="4"/>
      <c r="N23" s="3"/>
      <c r="P23" s="4"/>
    </row>
    <row r="24" spans="2:16" ht="21" x14ac:dyDescent="0.65">
      <c r="D24" s="4"/>
      <c r="F24" s="3"/>
      <c r="H24" s="4"/>
      <c r="J24" s="3"/>
      <c r="L24" s="4"/>
      <c r="N24" s="3"/>
      <c r="P24" s="4"/>
    </row>
    <row r="25" spans="2:16" ht="21" x14ac:dyDescent="0.65">
      <c r="D25" s="4"/>
      <c r="F25" s="3"/>
      <c r="H25" s="4"/>
      <c r="J25" s="3"/>
      <c r="L25" s="4"/>
      <c r="N25" s="3"/>
      <c r="P25" s="4"/>
    </row>
    <row r="26" spans="2:16" ht="21" x14ac:dyDescent="0.65">
      <c r="D26" s="4"/>
      <c r="F26" s="3"/>
      <c r="H26" s="4"/>
      <c r="J26" s="3"/>
      <c r="L26" s="4"/>
      <c r="N26" s="3"/>
      <c r="P26" s="4"/>
    </row>
    <row r="27" spans="2:16" ht="21" x14ac:dyDescent="0.65">
      <c r="F27" s="3"/>
      <c r="G27" s="3"/>
      <c r="H27" s="4"/>
      <c r="J27" s="3"/>
      <c r="L27" s="4"/>
      <c r="N27" s="3"/>
      <c r="P27" s="4"/>
    </row>
    <row r="28" spans="2:16" ht="21" x14ac:dyDescent="0.65">
      <c r="F28" s="3"/>
      <c r="G28" s="3"/>
      <c r="H28" s="4"/>
      <c r="J28" s="3"/>
      <c r="L28" s="4"/>
      <c r="N28" s="3"/>
      <c r="P28" s="4"/>
    </row>
    <row r="29" spans="2:16" ht="26.65" x14ac:dyDescent="0.85">
      <c r="C29" s="6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Dakota Bradford</dc:creator>
  <cp:lastModifiedBy>Timothy Collins</cp:lastModifiedBy>
  <dcterms:created xsi:type="dcterms:W3CDTF">2024-11-11T01:03:07Z</dcterms:created>
  <dcterms:modified xsi:type="dcterms:W3CDTF">2026-03-31T23:11:01Z</dcterms:modified>
</cp:coreProperties>
</file>