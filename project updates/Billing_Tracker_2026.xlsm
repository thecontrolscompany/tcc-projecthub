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yCollins\dev\tcc-projecthub\project updates\"/>
    </mc:Choice>
  </mc:AlternateContent>
  <xr:revisionPtr revIDLastSave="0" documentId="8_{DFFF8CA6-08C7-4740-8179-BB149F61FFEB}" xr6:coauthVersionLast="47" xr6:coauthVersionMax="47" xr10:uidLastSave="{00000000-0000-0000-0000-000000000000}"/>
  <bookViews>
    <workbookView xWindow="-98" yWindow="-98" windowWidth="24196" windowHeight="14476" tabRatio="766" activeTab="2" xr2:uid="{00000000-000D-0000-FFFF-FFFF00000000}"/>
  </bookViews>
  <sheets>
    <sheet name="Dashboard" sheetId="1" r:id="rId1"/>
    <sheet name="PM Directory" sheetId="42" state="hidden" r:id="rId2"/>
    <sheet name="December 2025" sheetId="48" r:id="rId3"/>
    <sheet name="January 2026" sheetId="49" r:id="rId4"/>
    <sheet name="February 2026" sheetId="50" r:id="rId5"/>
    <sheet name="March 2026" sheetId="51" r:id="rId6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1" l="1"/>
  <c r="D11" i="51"/>
  <c r="H25" i="51" l="1"/>
  <c r="I25" i="51" s="1"/>
  <c r="F25" i="51"/>
  <c r="H24" i="51"/>
  <c r="E24" i="51" s="1"/>
  <c r="F24" i="51"/>
  <c r="H23" i="51"/>
  <c r="E23" i="51" s="1"/>
  <c r="F23" i="51"/>
  <c r="H22" i="51"/>
  <c r="J22" i="51" s="1"/>
  <c r="F22" i="51"/>
  <c r="H21" i="51"/>
  <c r="I21" i="51" s="1"/>
  <c r="F21" i="51"/>
  <c r="H20" i="51"/>
  <c r="E20" i="51" s="1"/>
  <c r="F20" i="51"/>
  <c r="H19" i="51"/>
  <c r="I19" i="51" s="1"/>
  <c r="F19" i="51"/>
  <c r="H18" i="51"/>
  <c r="E18" i="51" s="1"/>
  <c r="F18" i="51"/>
  <c r="H17" i="51"/>
  <c r="E17" i="51" s="1"/>
  <c r="F17" i="51"/>
  <c r="H16" i="51"/>
  <c r="I16" i="51" s="1"/>
  <c r="F16" i="51"/>
  <c r="H15" i="51"/>
  <c r="J15" i="51" s="1"/>
  <c r="F15" i="51"/>
  <c r="H14" i="51"/>
  <c r="E14" i="51" s="1"/>
  <c r="F14" i="51"/>
  <c r="H13" i="51"/>
  <c r="J13" i="51" s="1"/>
  <c r="F13" i="51"/>
  <c r="H12" i="51"/>
  <c r="E12" i="51" s="1"/>
  <c r="F12" i="51"/>
  <c r="H11" i="51"/>
  <c r="E11" i="51" s="1"/>
  <c r="F11" i="51"/>
  <c r="H10" i="51"/>
  <c r="E10" i="51" s="1"/>
  <c r="F10" i="51"/>
  <c r="H9" i="51"/>
  <c r="J9" i="51" s="1"/>
  <c r="F9" i="51"/>
  <c r="H8" i="51"/>
  <c r="J8" i="51" s="1"/>
  <c r="F8" i="51"/>
  <c r="H7" i="51"/>
  <c r="J7" i="51" s="1"/>
  <c r="F7" i="51"/>
  <c r="H6" i="51"/>
  <c r="J6" i="51" s="1"/>
  <c r="F6" i="51"/>
  <c r="H5" i="51"/>
  <c r="E5" i="51" s="1"/>
  <c r="F5" i="51"/>
  <c r="H4" i="51"/>
  <c r="I4" i="51" s="1"/>
  <c r="F4" i="51"/>
  <c r="H3" i="51"/>
  <c r="E3" i="51" s="1"/>
  <c r="F3" i="51"/>
  <c r="H2" i="51"/>
  <c r="I2" i="51" s="1"/>
  <c r="F2" i="51"/>
  <c r="K26" i="51"/>
  <c r="K27" i="50"/>
  <c r="J2" i="50"/>
  <c r="E15" i="51" l="1"/>
  <c r="E13" i="51"/>
  <c r="E6" i="51"/>
  <c r="E19" i="51"/>
  <c r="E22" i="51"/>
  <c r="E16" i="51"/>
  <c r="E8" i="51"/>
  <c r="E9" i="51"/>
  <c r="J12" i="51"/>
  <c r="I12" i="51"/>
  <c r="J25" i="51"/>
  <c r="J4" i="51"/>
  <c r="I9" i="51"/>
  <c r="J16" i="51"/>
  <c r="E4" i="51"/>
  <c r="I17" i="51"/>
  <c r="I22" i="51"/>
  <c r="J19" i="51"/>
  <c r="I24" i="51"/>
  <c r="I20" i="51"/>
  <c r="E25" i="51"/>
  <c r="J21" i="51"/>
  <c r="I5" i="51"/>
  <c r="J5" i="51"/>
  <c r="J17" i="51"/>
  <c r="I13" i="51"/>
  <c r="I10" i="51"/>
  <c r="I18" i="51"/>
  <c r="I6" i="51"/>
  <c r="J10" i="51"/>
  <c r="J18" i="51"/>
  <c r="I14" i="51"/>
  <c r="E7" i="51"/>
  <c r="J14" i="51"/>
  <c r="I23" i="51"/>
  <c r="J2" i="51"/>
  <c r="I11" i="51"/>
  <c r="J23" i="51"/>
  <c r="J11" i="51"/>
  <c r="I7" i="51"/>
  <c r="I3" i="51"/>
  <c r="I15" i="51"/>
  <c r="J3" i="51"/>
  <c r="J24" i="51"/>
  <c r="J20" i="51"/>
  <c r="I8" i="51"/>
  <c r="E21" i="51"/>
  <c r="D11" i="50"/>
  <c r="F12" i="50"/>
  <c r="J12" i="50"/>
  <c r="J26" i="51" l="1"/>
  <c r="E12" i="50"/>
  <c r="I12" i="50"/>
  <c r="H16" i="50" l="1"/>
  <c r="J16" i="50" s="1"/>
  <c r="F16" i="50"/>
  <c r="I2" i="50"/>
  <c r="H2" i="50"/>
  <c r="E2" i="50" s="1"/>
  <c r="F2" i="50"/>
  <c r="H24" i="50"/>
  <c r="E24" i="50" s="1"/>
  <c r="F24" i="50"/>
  <c r="H14" i="50"/>
  <c r="E14" i="50" s="1"/>
  <c r="F14" i="50"/>
  <c r="H15" i="50"/>
  <c r="E15" i="50" s="1"/>
  <c r="F15" i="50"/>
  <c r="H23" i="50"/>
  <c r="E23" i="50" s="1"/>
  <c r="F23" i="50"/>
  <c r="H13" i="50"/>
  <c r="J13" i="50" s="1"/>
  <c r="F13" i="50"/>
  <c r="H22" i="50"/>
  <c r="J22" i="50" s="1"/>
  <c r="F22" i="50"/>
  <c r="H18" i="50"/>
  <c r="E18" i="50" s="1"/>
  <c r="F18" i="50"/>
  <c r="H11" i="50"/>
  <c r="E11" i="50" s="1"/>
  <c r="F11" i="50"/>
  <c r="H10" i="50"/>
  <c r="J10" i="50" s="1"/>
  <c r="F10" i="50"/>
  <c r="H17" i="50"/>
  <c r="J17" i="50" s="1"/>
  <c r="F17" i="50"/>
  <c r="H9" i="50"/>
  <c r="I9" i="50" s="1"/>
  <c r="F9" i="50"/>
  <c r="E9" i="50"/>
  <c r="H8" i="50"/>
  <c r="E8" i="50" s="1"/>
  <c r="F8" i="50"/>
  <c r="H21" i="50"/>
  <c r="E21" i="50" s="1"/>
  <c r="F21" i="50"/>
  <c r="H26" i="50"/>
  <c r="J26" i="50" s="1"/>
  <c r="F26" i="50"/>
  <c r="H25" i="50"/>
  <c r="I25" i="50" s="1"/>
  <c r="F25" i="50"/>
  <c r="H7" i="50"/>
  <c r="E7" i="50" s="1"/>
  <c r="F7" i="50"/>
  <c r="H20" i="50"/>
  <c r="J20" i="50" s="1"/>
  <c r="F20" i="50"/>
  <c r="H6" i="50"/>
  <c r="J6" i="50" s="1"/>
  <c r="F6" i="50"/>
  <c r="E6" i="50"/>
  <c r="H5" i="50"/>
  <c r="I5" i="50" s="1"/>
  <c r="F5" i="50"/>
  <c r="H4" i="50"/>
  <c r="E4" i="50" s="1"/>
  <c r="F4" i="50"/>
  <c r="H19" i="50"/>
  <c r="J19" i="50" s="1"/>
  <c r="F19" i="50"/>
  <c r="E19" i="50"/>
  <c r="H3" i="50"/>
  <c r="J3" i="50" s="1"/>
  <c r="F3" i="50"/>
  <c r="E3" i="50"/>
  <c r="K21" i="49"/>
  <c r="K16" i="49"/>
  <c r="H25" i="49"/>
  <c r="J25" i="49" s="1"/>
  <c r="F25" i="49"/>
  <c r="H23" i="49"/>
  <c r="I23" i="49" s="1"/>
  <c r="F23" i="49"/>
  <c r="H22" i="49"/>
  <c r="I22" i="49" s="1"/>
  <c r="F22" i="49"/>
  <c r="H21" i="49"/>
  <c r="J21" i="49" s="1"/>
  <c r="F21" i="49"/>
  <c r="H20" i="49"/>
  <c r="J20" i="49" s="1"/>
  <c r="F20" i="49"/>
  <c r="H19" i="49"/>
  <c r="J19" i="49" s="1"/>
  <c r="F19" i="49"/>
  <c r="E19" i="49"/>
  <c r="H18" i="49"/>
  <c r="I18" i="49" s="1"/>
  <c r="F18" i="49"/>
  <c r="H17" i="49"/>
  <c r="E17" i="49" s="1"/>
  <c r="F17" i="49"/>
  <c r="H16" i="49"/>
  <c r="J16" i="49" s="1"/>
  <c r="F16" i="49"/>
  <c r="H15" i="49"/>
  <c r="J15" i="49" s="1"/>
  <c r="F15" i="49"/>
  <c r="H14" i="49"/>
  <c r="J14" i="49" s="1"/>
  <c r="F14" i="49"/>
  <c r="H13" i="49"/>
  <c r="J13" i="49" s="1"/>
  <c r="F13" i="49"/>
  <c r="H12" i="49"/>
  <c r="I12" i="49" s="1"/>
  <c r="F12" i="49"/>
  <c r="E12" i="49"/>
  <c r="H11" i="49"/>
  <c r="J11" i="49" s="1"/>
  <c r="F11" i="49"/>
  <c r="E11" i="49"/>
  <c r="H10" i="49"/>
  <c r="J10" i="49" s="1"/>
  <c r="F10" i="49"/>
  <c r="H9" i="49"/>
  <c r="I9" i="49" s="1"/>
  <c r="F9" i="49"/>
  <c r="H8" i="49"/>
  <c r="J8" i="49" s="1"/>
  <c r="F8" i="49"/>
  <c r="H7" i="49"/>
  <c r="E7" i="49" s="1"/>
  <c r="F7" i="49"/>
  <c r="H6" i="49"/>
  <c r="I6" i="49" s="1"/>
  <c r="F6" i="49"/>
  <c r="H5" i="49"/>
  <c r="J5" i="49" s="1"/>
  <c r="F5" i="49"/>
  <c r="H4" i="49"/>
  <c r="J4" i="49" s="1"/>
  <c r="F4" i="49"/>
  <c r="I3" i="49"/>
  <c r="F3" i="49"/>
  <c r="E3" i="49"/>
  <c r="H2" i="49"/>
  <c r="J2" i="49" s="1"/>
  <c r="F2" i="49"/>
  <c r="E20" i="50" l="1"/>
  <c r="E10" i="50"/>
  <c r="I19" i="50"/>
  <c r="J8" i="50"/>
  <c r="E26" i="50"/>
  <c r="I8" i="50"/>
  <c r="E17" i="50"/>
  <c r="J15" i="50"/>
  <c r="J9" i="50"/>
  <c r="I15" i="50"/>
  <c r="E13" i="50"/>
  <c r="J23" i="50"/>
  <c r="I20" i="50"/>
  <c r="J4" i="50"/>
  <c r="J7" i="50"/>
  <c r="J18" i="50"/>
  <c r="E5" i="50"/>
  <c r="E22" i="50"/>
  <c r="I14" i="50"/>
  <c r="I4" i="50"/>
  <c r="I18" i="50"/>
  <c r="I22" i="50"/>
  <c r="J5" i="50"/>
  <c r="I3" i="50"/>
  <c r="I10" i="50"/>
  <c r="I21" i="50"/>
  <c r="E16" i="50"/>
  <c r="J14" i="50"/>
  <c r="I24" i="50"/>
  <c r="I17" i="50"/>
  <c r="I26" i="50"/>
  <c r="I6" i="50"/>
  <c r="I13" i="50"/>
  <c r="J21" i="50"/>
  <c r="I23" i="50"/>
  <c r="I7" i="50"/>
  <c r="J25" i="50"/>
  <c r="I11" i="50"/>
  <c r="I16" i="50"/>
  <c r="J24" i="50"/>
  <c r="J11" i="50"/>
  <c r="E25" i="50"/>
  <c r="E15" i="49"/>
  <c r="E20" i="49"/>
  <c r="E23" i="49"/>
  <c r="E6" i="49"/>
  <c r="E16" i="49"/>
  <c r="E8" i="49"/>
  <c r="J9" i="49"/>
  <c r="E10" i="49"/>
  <c r="E14" i="49"/>
  <c r="E4" i="49"/>
  <c r="I10" i="49"/>
  <c r="J18" i="49"/>
  <c r="J3" i="49"/>
  <c r="J12" i="49"/>
  <c r="I13" i="49"/>
  <c r="J22" i="49"/>
  <c r="J6" i="49"/>
  <c r="E13" i="49"/>
  <c r="I4" i="49"/>
  <c r="I15" i="49"/>
  <c r="I11" i="49"/>
  <c r="I20" i="49"/>
  <c r="J23" i="49"/>
  <c r="E5" i="49"/>
  <c r="E21" i="49"/>
  <c r="E25" i="49"/>
  <c r="I17" i="49"/>
  <c r="J17" i="49"/>
  <c r="I8" i="49"/>
  <c r="I5" i="49"/>
  <c r="I25" i="49"/>
  <c r="I14" i="49"/>
  <c r="I16" i="49"/>
  <c r="E18" i="49"/>
  <c r="E22" i="49"/>
  <c r="I7" i="49"/>
  <c r="J7" i="49"/>
  <c r="I19" i="49"/>
  <c r="I2" i="49"/>
  <c r="I21" i="49"/>
  <c r="E9" i="49"/>
  <c r="E2" i="49"/>
  <c r="J27" i="50" l="1"/>
</calcChain>
</file>

<file path=xl/sharedStrings.xml><?xml version="1.0" encoding="utf-8"?>
<sst xmlns="http://schemas.openxmlformats.org/spreadsheetml/2006/main" count="404" uniqueCount="113">
  <si>
    <t>Billing Summary - 2025</t>
  </si>
  <si>
    <t>Month</t>
  </si>
  <si>
    <t>Customer</t>
  </si>
  <si>
    <t>Project Name</t>
  </si>
  <si>
    <t>Estimated Income</t>
  </si>
  <si>
    <t>Prior % Complete</t>
  </si>
  <si>
    <t>Previously Billed</t>
  </si>
  <si>
    <t>To Bill This Period</t>
  </si>
  <si>
    <t>Actual Billed Amount</t>
  </si>
  <si>
    <t>Engineered Cooling Services</t>
  </si>
  <si>
    <t>Cytiva Belt 8</t>
  </si>
  <si>
    <t>Daphne Elementary North</t>
  </si>
  <si>
    <t>Daphne Elementary South</t>
  </si>
  <si>
    <t>Elberta Elementary</t>
  </si>
  <si>
    <t>Fairhope High School Multipurpose Room</t>
  </si>
  <si>
    <t>Foley High School</t>
  </si>
  <si>
    <t>Loxley Elementary</t>
  </si>
  <si>
    <t>Magnolia Elementary</t>
  </si>
  <si>
    <t>Okaloosa Gas</t>
  </si>
  <si>
    <t>Robertsdale Elementary</t>
  </si>
  <si>
    <t>Soundside High School</t>
  </si>
  <si>
    <t>Johnson Controls</t>
  </si>
  <si>
    <t>Siemens Industry</t>
  </si>
  <si>
    <t>NAS Bld 603</t>
  </si>
  <si>
    <t>NAS Fitness Center</t>
  </si>
  <si>
    <t>Trane U.S. Inc.</t>
  </si>
  <si>
    <t>Crestview Elementary</t>
  </si>
  <si>
    <t>Destin Elementary</t>
  </si>
  <si>
    <t>Eglin Special Forces</t>
  </si>
  <si>
    <t>Eglin Wildcat Facility</t>
  </si>
  <si>
    <t>Enterprise State Community College</t>
  </si>
  <si>
    <t>MLK Rec Center</t>
  </si>
  <si>
    <t>Rutherford High School Building 1</t>
  </si>
  <si>
    <t>South Baldwin Ambulatory Surgery Center</t>
  </si>
  <si>
    <t>Titan Hangar 3</t>
  </si>
  <si>
    <t>Tommy Smith Elementary</t>
  </si>
  <si>
    <t>Walters Controls</t>
  </si>
  <si>
    <t>Backlog</t>
  </si>
  <si>
    <t>% Complete</t>
  </si>
  <si>
    <t>Projected Billings</t>
  </si>
  <si>
    <t>Actual Billings</t>
  </si>
  <si>
    <t>Previously Billed %</t>
  </si>
  <si>
    <t>Project Manager Email</t>
  </si>
  <si>
    <t>jnoa@engcool.com</t>
  </si>
  <si>
    <t>bivey@engcool.com</t>
  </si>
  <si>
    <t>nbaker@engcool.com</t>
  </si>
  <si>
    <t>jadcock@engcool.com</t>
  </si>
  <si>
    <t>bhicks@engcool.com</t>
  </si>
  <si>
    <t>alan.preble@jci.com</t>
  </si>
  <si>
    <t>jimmy.williams@siemens.com</t>
  </si>
  <si>
    <t>wayne.foster@siemens.com</t>
  </si>
  <si>
    <t>Chris.Favre@trane.com</t>
  </si>
  <si>
    <t>ashleyh.carroll@trane.com</t>
  </si>
  <si>
    <t>Thomas.Mondi@tranetechnologies.com</t>
  </si>
  <si>
    <t>Robert.Harman@trane.com</t>
  </si>
  <si>
    <t>SAgnew@trane.com</t>
  </si>
  <si>
    <t>richard@walterscontrols.net</t>
  </si>
  <si>
    <t>Email</t>
  </si>
  <si>
    <t>Name</t>
  </si>
  <si>
    <t>Phone Number</t>
  </si>
  <si>
    <t>Company</t>
  </si>
  <si>
    <t>tim@controlsco.net</t>
  </si>
  <si>
    <t>Tim Collins</t>
  </si>
  <si>
    <t>The Controls Co</t>
  </si>
  <si>
    <t>850-490-1844</t>
  </si>
  <si>
    <t>Jarett Noa</t>
  </si>
  <si>
    <t>Blane Ivey</t>
  </si>
  <si>
    <t>Nick Baker</t>
  </si>
  <si>
    <t>Siemens</t>
  </si>
  <si>
    <t>Trane</t>
  </si>
  <si>
    <t>Jason Adcock</t>
  </si>
  <si>
    <t>Brian Hicks</t>
  </si>
  <si>
    <t>Alan Preble</t>
  </si>
  <si>
    <t>Bo Williams</t>
  </si>
  <si>
    <t>LaWayne Foster</t>
  </si>
  <si>
    <t>Chris Favre</t>
  </si>
  <si>
    <t>Heath Carroll</t>
  </si>
  <si>
    <t>RJ Harman</t>
  </si>
  <si>
    <t>Tom Mondi</t>
  </si>
  <si>
    <t>Scott Agnew</t>
  </si>
  <si>
    <t>Richard Kirkpatrick</t>
  </si>
  <si>
    <t>bdrummond@engineeredcooling.com</t>
  </si>
  <si>
    <t>Brandon Drummond</t>
  </si>
  <si>
    <t>850-728-0139</t>
  </si>
  <si>
    <t>steve.guess@walterscontrols.net</t>
  </si>
  <si>
    <t>Steve Guess</t>
  </si>
  <si>
    <t>Eglin Airman</t>
  </si>
  <si>
    <t>USAF</t>
  </si>
  <si>
    <t>Eglin 1416</t>
  </si>
  <si>
    <t>RQ Construction</t>
  </si>
  <si>
    <t>Hurlburt Dorms B90369</t>
  </si>
  <si>
    <t>Mobile Arena</t>
  </si>
  <si>
    <t>NSA B147</t>
  </si>
  <si>
    <t>Daphne HS Additions</t>
  </si>
  <si>
    <t>CSUSA</t>
  </si>
  <si>
    <t>Arena Toilet Controls</t>
  </si>
  <si>
    <t>Eastern Shore Transportation</t>
  </si>
  <si>
    <t>Elberta Middle School</t>
  </si>
  <si>
    <t>Pivotal Healthcare</t>
  </si>
  <si>
    <t>SOF Human Performance</t>
  </si>
  <si>
    <t>Moses Electric</t>
  </si>
  <si>
    <t>Titan Lighting</t>
  </si>
  <si>
    <t>HHH Contractors</t>
  </si>
  <si>
    <t>Triple H Labor</t>
  </si>
  <si>
    <t>Mobile Arena CO-2</t>
  </si>
  <si>
    <t>_HHH Contractors</t>
  </si>
  <si>
    <t>Billed 3/30/26</t>
  </si>
  <si>
    <t>Add AES and Gresham Bill</t>
  </si>
  <si>
    <t>Send Bo email about delay CO</t>
  </si>
  <si>
    <t>Billing per Toms email</t>
  </si>
  <si>
    <t>Potential change order</t>
  </si>
  <si>
    <t>Actual amount to bill at end of week</t>
  </si>
  <si>
    <t>Change order in progress/Received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</si>
</sst>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</fills>
  <borders count="2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4">
    <xf numFmtId="0" fontId="0" fillId="0" borderId="0"/>
    <xf numFmtId="44" fontId="1" fillId="0" borderId="0"/>
    <xf numFmtId="9" fontId="1" fillId="0" borderId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/>
    <xf numFmtId="0" fontId="5" fillId="2" borderId="0" xfId="0" applyFont="1" applyFill="1"/>
    <xf numFmtId="17" fontId="0" fillId="0" borderId="0" xfId="0" applyNumberFormat="1"/>
    <xf numFmtId="164" fontId="1" fillId="0" borderId="0" xfId="1" applyNumberFormat="1"/>
    <xf numFmtId="10" fontId="0" fillId="0" borderId="0" xfId="2" applyNumberFormat="1" applyFont="1" applyProtection="1">
      <protection locked="0"/>
    </xf>
    <xf numFmtId="165" fontId="0" fillId="0" borderId="0" xfId="1" applyNumberFormat="1" applyFont="1" applyProtection="1">
      <protection locked="0"/>
    </xf>
    <xf numFmtId="10" fontId="2" fillId="2" borderId="1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0" fontId="0" fillId="0" borderId="0" xfId="1" applyNumberFormat="1" applyFont="1"/>
    <xf numFmtId="10" fontId="0" fillId="0" borderId="0" xfId="2" applyNumberFormat="1" applyFont="1"/>
    <xf numFmtId="165" fontId="0" fillId="0" borderId="0" xfId="2" applyNumberFormat="1" applyFont="1"/>
    <xf numFmtId="165" fontId="0" fillId="0" borderId="0" xfId="1" applyNumberFormat="1" applyFont="1"/>
    <xf numFmtId="165" fontId="0" fillId="0" borderId="0" xfId="0" applyNumberFormat="1"/>
    <xf numFmtId="10" fontId="0" fillId="0" borderId="0" xfId="0" applyNumberFormat="1"/>
    <xf numFmtId="0" fontId="7" fillId="0" borderId="0" xfId="3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0" xfId="3" applyAlignment="1">
      <alignment vertical="center" wrapText="1"/>
    </xf>
    <xf numFmtId="44" fontId="1" fillId="0" borderId="0" xfId="1"/>
    <xf numFmtId="165" fontId="0" fillId="0" borderId="0" xfId="0" applyNumberFormat="1" applyProtection="1">
      <protection locked="0"/>
    </xf>
    <xf numFmtId="0" fontId="0" fillId="0" borderId="0" xfId="0" applyAlignment="1" applyProtection="1">
      <alignment horizontal="left" indent="1"/>
      <protection locked="0"/>
    </xf>
    <xf numFmtId="10" fontId="1" fillId="0" borderId="0" xfId="1" applyNumberFormat="1"/>
    <xf numFmtId="165" fontId="1" fillId="0" borderId="0" xfId="1" applyNumberFormat="1"/>
    <xf numFmtId="0" fontId="4" fillId="0" borderId="0" xfId="0" applyFont="1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61"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2CC"/>
        </patternFill>
      </fill>
    </dxf>
    <dxf>
      <font>
        <strike val="0"/>
        <color rgb="FFFF0000"/>
      </font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CC"/>
        </patternFill>
      </fill>
    </dxf>
    <dxf>
      <fill>
        <patternFill>
          <bgColor rgb="FFF0F0F0"/>
        </patternFill>
      </fill>
    </dxf>
    <dxf>
      <font>
        <color rgb="FFFFFFFF"/>
      </font>
      <fill>
        <patternFill>
          <bgColor rgb="FF00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CC"/>
        </patternFill>
      </fill>
    </dxf>
    <dxf>
      <fill>
        <patternFill>
          <bgColor rgb="FFF0F0F0"/>
        </patternFill>
      </fill>
    </dxf>
    <dxf>
      <font>
        <color rgb="FFFFFFFF"/>
      </font>
      <fill>
        <patternFill>
          <bgColor rgb="FF000000"/>
        </patternFill>
      </fill>
    </dxf>
    <dxf>
      <fill>
        <patternFill>
          <bgColor rgb="FFFFF2CC"/>
        </patternFill>
      </fill>
    </dxf>
    <dxf>
      <font>
        <strike val="0"/>
        <color rgb="FFFF0000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2CC"/>
        </patternFill>
      </fill>
    </dxf>
    <dxf>
      <font>
        <strike val="0"/>
        <color rgb="FFFF0000"/>
      </font>
    </dxf>
    <dxf>
      <fill>
        <patternFill>
          <bgColor theme="0" tint="-4.9989318521683403E-2"/>
        </patternFill>
      </fill>
    </dxf>
    <dxf>
      <fill>
        <patternFill>
          <bgColor rgb="FFFFF2CC"/>
        </patternFill>
      </fill>
    </dxf>
    <dxf>
      <font>
        <strike val="0"/>
        <color rgb="FFFF0000"/>
      </font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CC"/>
        </patternFill>
      </fill>
    </dxf>
    <dxf>
      <fill>
        <patternFill>
          <bgColor rgb="FFF0F0F0"/>
        </patternFill>
      </fill>
    </dxf>
    <dxf>
      <font>
        <color rgb="FFFFFFFF"/>
      </font>
      <fill>
        <patternFill>
          <bgColor rgb="FF00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2CC"/>
        </patternFill>
      </fill>
    </dxf>
    <dxf>
      <font>
        <strike val="0"/>
        <color rgb="FFFF0000"/>
      </font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CC"/>
        </patternFill>
      </fill>
    </dxf>
    <dxf>
      <fill>
        <patternFill>
          <bgColor rgb="FFF0F0F0"/>
        </patternFill>
      </fill>
    </dxf>
    <dxf>
      <font>
        <color rgb="FFFFFFFF"/>
      </font>
      <fill>
        <patternFill>
          <bgColor rgb="FF00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2CC"/>
        </patternFill>
      </fill>
    </dxf>
    <dxf>
      <font>
        <strike val="0"/>
        <color rgb="FFFF0000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Projected vs Actual Billings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Projected Billings</c:v>
                </c:pt>
              </c:strCache>
            </c:strRef>
          </c:tx>
          <c:invertIfNegative val="0"/>
          <c:cat>
            <c:numRef>
              <c:f>Dashboard!$A$4:$A$6</c:f>
              <c:numCache>
                <c:formatCode>mmm\-yy</c:formatCode>
                <c:ptCount val="3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</c:numCache>
            </c:numRef>
          </c:cat>
          <c:val>
            <c:numRef>
              <c:f>Dashboard!$B$4:$B$6</c:f>
              <c:numCache>
                <c:formatCode>_("$"* #,##0_);_("$"* \(#,##0\);_("$"* "-"??_);_(@_)</c:formatCode>
                <c:ptCount val="3"/>
                <c:pt idx="0">
                  <c:v>139298.23999999999</c:v>
                </c:pt>
                <c:pt idx="1">
                  <c:v>250075.77999999997</c:v>
                </c:pt>
                <c:pt idx="2">
                  <c:v>226525.81000000006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77-48C0-84F1-0361D706A744}"/>
            </c:ext>
          </c:extLst>
        </c:ser>
        <c:ser>
          <c:idx val="1"/>
          <c:order val="1"/>
          <c:tx>
            <c:strRef>
              <c:f>Dashboard!$C$3</c:f>
              <c:strCache>
                <c:ptCount val="1"/>
                <c:pt idx="0">
                  <c:v>Actual Billings</c:v>
                </c:pt>
              </c:strCache>
            </c:strRef>
          </c:tx>
          <c:invertIfNegative val="0"/>
          <c:cat>
            <c:numRef>
              <c:f>Dashboard!$A$4:$A$6</c:f>
              <c:numCache>
                <c:formatCode>mmm\-yy</c:formatCode>
                <c:ptCount val="3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</c:numCache>
            </c:numRef>
          </c:cat>
          <c:val>
            <c:numRef>
              <c:f>Dashboard!$C$4:$C$6</c:f>
              <c:numCache>
                <c:formatCode>_("$"* #,##0_);_("$"* \(#,##0\);_("$"* "-"??_);_(@_)</c:formatCode>
                <c:ptCount val="3"/>
                <c:pt idx="0">
                  <c:v>396990.25000000006</c:v>
                </c:pt>
                <c:pt idx="1">
                  <c:v>262595.10000000003</c:v>
                </c:pt>
                <c:pt idx="2">
                  <c:v>147248.81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77-48C0-84F1-0361D706A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389184"/>
        <c:axId val="100377184"/>
      </c:barChart>
      <c:dateAx>
        <c:axId val="10038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0"/>
        </c:title>
        <c:numFmt formatCode="mmm\-yy" sourceLinked="1"/>
        <c:majorTickMark val="out"/>
        <c:minorTickMark val="none"/>
        <c:tickLblPos val="nextTo"/>
        <c:crossAx val="100377184"/>
        <c:crosses val="autoZero"/>
        <c:auto val="1"/>
        <c:lblOffset val="100"/>
        <c:baseTimeUnit val="months"/>
      </c:dateAx>
      <c:valAx>
        <c:axId val="100377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00389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Backlog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Dashboard!$D$3</c:f>
              <c:strCache>
                <c:ptCount val="1"/>
                <c:pt idx="0">
                  <c:v>Backlog</c:v>
                </c:pt>
              </c:strCache>
            </c:strRef>
          </c:tx>
          <c:cat>
            <c:numRef>
              <c:f>Dashboard!$A$4:$A$6</c:f>
              <c:numCache>
                <c:formatCode>mmm\-yy</c:formatCode>
                <c:ptCount val="3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</c:numCache>
            </c:numRef>
          </c:cat>
          <c:val>
            <c:numRef>
              <c:f>Dashboard!$D$4:$D$6</c:f>
              <c:numCache>
                <c:formatCode>_("$"* #,##0_);_("$"* \(#,##0\);_("$"* "-"??_);_(@_)</c:formatCode>
                <c:ptCount val="3"/>
                <c:pt idx="0">
                  <c:v>3536865.59</c:v>
                </c:pt>
                <c:pt idx="1">
                  <c:v>3194875.34</c:v>
                </c:pt>
                <c:pt idx="2">
                  <c:v>2987006.3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C-49D2-8DF0-19B997CE6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10304"/>
        <c:axId val="100408384"/>
      </c:lineChart>
      <c:dateAx>
        <c:axId val="10041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0"/>
        </c:title>
        <c:numFmt formatCode="mmm\-yy" sourceLinked="1"/>
        <c:majorTickMark val="out"/>
        <c:minorTickMark val="none"/>
        <c:tickLblPos val="nextTo"/>
        <c:crossAx val="100408384"/>
        <c:crosses val="autoZero"/>
        <c:auto val="1"/>
        <c:lblOffset val="100"/>
        <c:baseTimeUnit val="months"/>
      </c:dateAx>
      <c:valAx>
        <c:axId val="100408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Backlog ($)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00410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3</xdr:row>
          <xdr:rowOff>138113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</xdr:row>
          <xdr:rowOff>180975</xdr:rowOff>
        </xdr:from>
        <xdr:to>
          <xdr:col>9</xdr:col>
          <xdr:colOff>180975</xdr:colOff>
          <xdr:row>3</xdr:row>
          <xdr:rowOff>123825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</xdr:row>
          <xdr:rowOff>180975</xdr:rowOff>
        </xdr:from>
        <xdr:to>
          <xdr:col>11</xdr:col>
          <xdr:colOff>352425</xdr:colOff>
          <xdr:row>3</xdr:row>
          <xdr:rowOff>123825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1028700</xdr:colOff>
      <xdr:row>3</xdr:row>
      <xdr:rowOff>171450</xdr:rowOff>
    </xdr:from>
    <xdr:to>
      <xdr:col>12</xdr:col>
      <xdr:colOff>514350</xdr:colOff>
      <xdr:row>21</xdr:row>
      <xdr:rowOff>88900</xdr:rowOff>
    </xdr:to>
    <xdr:graphicFrame macro="">
      <xdr:nvGraphicFramePr>
        <xdr:cNvPr id="42" name="BillingChart_140841">
          <a:extLst>
            <a:ext uri="{FF2B5EF4-FFF2-40B4-BE49-F238E27FC236}">
              <a16:creationId xmlns:a16="http://schemas.microsoft.com/office/drawing/2014/main" id="{643CB92D-F326-CBC3-6893-5D50ACEA4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1028700</xdr:colOff>
      <xdr:row>23</xdr:row>
      <xdr:rowOff>107950</xdr:rowOff>
    </xdr:from>
    <xdr:to>
      <xdr:col>12</xdr:col>
      <xdr:colOff>514350</xdr:colOff>
      <xdr:row>41</xdr:row>
      <xdr:rowOff>25400</xdr:rowOff>
    </xdr:to>
    <xdr:graphicFrame macro="">
      <xdr:nvGraphicFramePr>
        <xdr:cNvPr id="55" name="BacklogChart_140841">
          <a:extLst>
            <a:ext uri="{FF2B5EF4-FFF2-40B4-BE49-F238E27FC236}">
              <a16:creationId xmlns:a16="http://schemas.microsoft.com/office/drawing/2014/main" id="{0747C600-CCB6-182F-A1E7-3C165234CF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hris.Favre@trane.com" TargetMode="External"/><Relationship Id="rId2" Type="http://schemas.openxmlformats.org/officeDocument/2006/relationships/hyperlink" Target="mailto:wayne.foster@siemens.com" TargetMode="External"/><Relationship Id="rId1" Type="http://schemas.openxmlformats.org/officeDocument/2006/relationships/hyperlink" Target="mailto:tim@controlsco.net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10"/>
  <sheetViews>
    <sheetView workbookViewId="0">
      <selection activeCell="D14" sqref="D14"/>
    </sheetView>
  </sheetViews>
  <sheetFormatPr defaultRowHeight="14.25" x14ac:dyDescent="0.45"/>
  <cols>
    <col min="2" max="2" width="16.86328125" bestFit="1" customWidth="1"/>
    <col min="3" max="3" width="13" bestFit="1" customWidth="1"/>
    <col min="4" max="4" width="14.6640625" bestFit="1" customWidth="1"/>
  </cols>
  <sheetData>
    <row r="1" spans="1:4" ht="18" customHeight="1" x14ac:dyDescent="0.55000000000000004">
      <c r="A1" s="25" t="s">
        <v>0</v>
      </c>
      <c r="B1" s="25"/>
      <c r="C1" s="25"/>
      <c r="D1" s="25"/>
    </row>
    <row r="3" spans="1:4" x14ac:dyDescent="0.45">
      <c r="A3" s="3" t="s">
        <v>1</v>
      </c>
      <c r="B3" s="3" t="s">
        <v>39</v>
      </c>
      <c r="C3" s="3" t="s">
        <v>40</v>
      </c>
      <c r="D3" s="3" t="s">
        <v>37</v>
      </c>
    </row>
    <row r="4" spans="1:4" x14ac:dyDescent="0.45">
      <c r="A4" s="4">
        <v>46023</v>
      </c>
      <c r="B4" s="5">
        <v>139298.23999999999</v>
      </c>
      <c r="C4" s="5">
        <v>396990.25000000006</v>
      </c>
      <c r="D4" s="5">
        <v>3536865.59</v>
      </c>
    </row>
    <row r="5" spans="1:4" x14ac:dyDescent="0.45">
      <c r="A5" s="4">
        <v>46054</v>
      </c>
      <c r="B5" s="5">
        <v>250075.77999999997</v>
      </c>
      <c r="C5" s="5">
        <v>262595.10000000003</v>
      </c>
      <c r="D5" s="5">
        <v>3194875.34</v>
      </c>
    </row>
    <row r="6" spans="1:4" x14ac:dyDescent="0.45">
      <c r="A6" s="4">
        <v>46082</v>
      </c>
      <c r="B6" s="5">
        <v>226525.81000000006</v>
      </c>
      <c r="C6" s="5">
        <v>147248.81</v>
      </c>
      <c r="D6" s="5">
        <v>2987006.3</v>
      </c>
    </row>
    <row r="7" spans="1:4" x14ac:dyDescent="0.45">
      <c r="A7" s="4"/>
      <c r="B7" s="20"/>
      <c r="C7" s="20"/>
      <c r="D7" s="5"/>
    </row>
    <row r="8" spans="1:4" x14ac:dyDescent="0.45">
      <c r="A8" s="4"/>
      <c r="B8" s="20"/>
      <c r="C8" s="20"/>
      <c r="D8" s="5"/>
    </row>
    <row r="9" spans="1:4" x14ac:dyDescent="0.45">
      <c r="A9" s="4"/>
      <c r="B9" s="20"/>
      <c r="C9" s="20"/>
      <c r="D9" s="5"/>
    </row>
    <row r="10" spans="1:4" x14ac:dyDescent="0.45">
      <c r="A10" s="4"/>
      <c r="B10" s="20"/>
      <c r="C10" s="20"/>
      <c r="D10" s="5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9">
              <controlPr defaultSize="0" print="0" autoFill="0" autoPict="0" macro="[0]!RollForwardBillingShee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Button 10">
              <controlPr defaultSize="0" print="0" autoFill="0" autoPict="0" macro="[0]!RefreshDashboard">
                <anchor moveWithCells="1" sizeWithCells="1">
                  <from>
                    <xdr:col>7</xdr:col>
                    <xdr:colOff>200025</xdr:colOff>
                    <xdr:row>1</xdr:row>
                    <xdr:rowOff>180975</xdr:rowOff>
                  </from>
                  <to>
                    <xdr:col>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GenerateBillingEmails_FromDashboard">
                <anchor moveWithCells="1" sizeWithCells="1">
                  <from>
                    <xdr:col>9</xdr:col>
                    <xdr:colOff>371475</xdr:colOff>
                    <xdr:row>1</xdr:row>
                    <xdr:rowOff>180975</xdr:rowOff>
                  </from>
                  <to>
                    <xdr:col>11</xdr:col>
                    <xdr:colOff>352425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F86-1954-4669-8ECB-03F034BC64C3}">
  <sheetPr codeName="Sheet5"/>
  <dimension ref="A1:D18"/>
  <sheetViews>
    <sheetView workbookViewId="0">
      <selection activeCell="N9" sqref="N9"/>
    </sheetView>
  </sheetViews>
  <sheetFormatPr defaultRowHeight="14.25" x14ac:dyDescent="0.45"/>
  <cols>
    <col min="1" max="1" width="37.1328125" bestFit="1" customWidth="1"/>
    <col min="2" max="2" width="18.1328125" bestFit="1" customWidth="1"/>
    <col min="3" max="3" width="14.59765625" bestFit="1" customWidth="1"/>
    <col min="4" max="4" width="26" bestFit="1" customWidth="1"/>
  </cols>
  <sheetData>
    <row r="1" spans="1:4" x14ac:dyDescent="0.45">
      <c r="A1" s="17" t="s">
        <v>57</v>
      </c>
      <c r="B1" s="17" t="s">
        <v>58</v>
      </c>
      <c r="C1" s="17" t="s">
        <v>59</v>
      </c>
      <c r="D1" s="17" t="s">
        <v>60</v>
      </c>
    </row>
    <row r="2" spans="1:4" x14ac:dyDescent="0.45">
      <c r="A2" s="19" t="s">
        <v>61</v>
      </c>
      <c r="B2" s="18" t="s">
        <v>62</v>
      </c>
      <c r="C2" s="18" t="s">
        <v>64</v>
      </c>
      <c r="D2" s="18" t="s">
        <v>63</v>
      </c>
    </row>
    <row r="3" spans="1:4" x14ac:dyDescent="0.45">
      <c r="A3" s="16" t="s">
        <v>43</v>
      </c>
      <c r="B3" t="s">
        <v>65</v>
      </c>
      <c r="D3" t="s">
        <v>9</v>
      </c>
    </row>
    <row r="4" spans="1:4" x14ac:dyDescent="0.45">
      <c r="A4" s="16" t="s">
        <v>44</v>
      </c>
      <c r="B4" t="s">
        <v>66</v>
      </c>
      <c r="D4" t="s">
        <v>9</v>
      </c>
    </row>
    <row r="5" spans="1:4" x14ac:dyDescent="0.45">
      <c r="A5" s="16" t="s">
        <v>45</v>
      </c>
      <c r="B5" t="s">
        <v>67</v>
      </c>
      <c r="D5" t="s">
        <v>9</v>
      </c>
    </row>
    <row r="6" spans="1:4" x14ac:dyDescent="0.45">
      <c r="A6" s="16" t="s">
        <v>46</v>
      </c>
      <c r="B6" t="s">
        <v>70</v>
      </c>
      <c r="D6" t="s">
        <v>9</v>
      </c>
    </row>
    <row r="7" spans="1:4" x14ac:dyDescent="0.45">
      <c r="A7" s="16" t="s">
        <v>47</v>
      </c>
      <c r="B7" t="s">
        <v>71</v>
      </c>
      <c r="D7" t="s">
        <v>9</v>
      </c>
    </row>
    <row r="8" spans="1:4" x14ac:dyDescent="0.45">
      <c r="A8" s="16" t="s">
        <v>48</v>
      </c>
      <c r="B8" t="s">
        <v>72</v>
      </c>
      <c r="D8" t="s">
        <v>21</v>
      </c>
    </row>
    <row r="9" spans="1:4" x14ac:dyDescent="0.45">
      <c r="A9" s="16" t="s">
        <v>49</v>
      </c>
      <c r="B9" t="s">
        <v>73</v>
      </c>
      <c r="D9" t="s">
        <v>68</v>
      </c>
    </row>
    <row r="10" spans="1:4" x14ac:dyDescent="0.45">
      <c r="A10" s="16" t="s">
        <v>50</v>
      </c>
      <c r="B10" t="s">
        <v>74</v>
      </c>
      <c r="D10" t="s">
        <v>68</v>
      </c>
    </row>
    <row r="11" spans="1:4" x14ac:dyDescent="0.45">
      <c r="A11" s="16" t="s">
        <v>51</v>
      </c>
      <c r="B11" t="s">
        <v>75</v>
      </c>
      <c r="D11" t="s">
        <v>69</v>
      </c>
    </row>
    <row r="12" spans="1:4" x14ac:dyDescent="0.45">
      <c r="A12" t="s">
        <v>52</v>
      </c>
      <c r="B12" t="s">
        <v>76</v>
      </c>
      <c r="D12" t="s">
        <v>69</v>
      </c>
    </row>
    <row r="13" spans="1:4" x14ac:dyDescent="0.45">
      <c r="A13" t="s">
        <v>54</v>
      </c>
      <c r="B13" t="s">
        <v>77</v>
      </c>
      <c r="D13" t="s">
        <v>69</v>
      </c>
    </row>
    <row r="14" spans="1:4" x14ac:dyDescent="0.45">
      <c r="A14" t="s">
        <v>53</v>
      </c>
      <c r="B14" t="s">
        <v>78</v>
      </c>
      <c r="D14" t="s">
        <v>69</v>
      </c>
    </row>
    <row r="15" spans="1:4" x14ac:dyDescent="0.45">
      <c r="A15" t="s">
        <v>55</v>
      </c>
      <c r="B15" t="s">
        <v>79</v>
      </c>
      <c r="D15" t="s">
        <v>69</v>
      </c>
    </row>
    <row r="16" spans="1:4" x14ac:dyDescent="0.45">
      <c r="A16" t="s">
        <v>56</v>
      </c>
      <c r="B16" t="s">
        <v>80</v>
      </c>
      <c r="D16" t="s">
        <v>36</v>
      </c>
    </row>
    <row r="17" spans="1:4" x14ac:dyDescent="0.45">
      <c r="A17" t="s">
        <v>81</v>
      </c>
      <c r="B17" t="s">
        <v>82</v>
      </c>
      <c r="C17" t="s">
        <v>83</v>
      </c>
      <c r="D17" t="s">
        <v>9</v>
      </c>
    </row>
    <row r="18" spans="1:4" x14ac:dyDescent="0.45">
      <c r="A18" t="s">
        <v>84</v>
      </c>
      <c r="B18" t="s">
        <v>85</v>
      </c>
      <c r="D18" t="s">
        <v>36</v>
      </c>
    </row>
  </sheetData>
  <hyperlinks>
    <hyperlink ref="A2" r:id="rId1" display="mailto:tim@controlsco.net" xr:uid="{B0FC0D29-F39E-43A0-9FC4-C2A8D8931C75}"/>
    <hyperlink ref="A10" r:id="rId2" xr:uid="{17AC6E02-1863-44E3-B077-4BAA0136FFE6}"/>
    <hyperlink ref="A11" r:id="rId3" xr:uid="{5D1AA5AB-6B74-4F31-A9E5-E4CC1D409D53}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76042-F037-4E8E-B529-2DE07229499C}">
  <sheetPr codeName="Sheet9">
    <pageSetUpPr fitToPage="1"/>
  </sheetPr>
  <dimension ref="A1:K36"/>
  <sheetViews>
    <sheetView tabSelected="1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H3" sqref="H3"/>
    </sheetView>
  </sheetViews>
  <sheetFormatPr defaultRowHeight="14.25" x14ac:dyDescent="0.45"/>
  <cols>
    <col min="1" max="1" width="22.86328125" bestFit="1" customWidth="1"/>
    <col min="2" max="2" width="33.19921875" bestFit="1" customWidth="1"/>
    <col min="3" max="3" width="32.33203125" customWidth="1"/>
    <col min="4" max="4" width="16.9296875" style="14" customWidth="1"/>
    <col min="5" max="5" width="12.33203125" style="14" customWidth="1"/>
    <col min="6" max="6" width="16.19921875" style="15" customWidth="1"/>
    <col min="7" max="7" width="11.46484375" style="15" customWidth="1"/>
    <col min="8" max="8" width="15.53125" style="14" customWidth="1"/>
    <col min="9" max="9" width="17.59765625" style="15" customWidth="1"/>
    <col min="10" max="10" width="16.33203125" style="14" bestFit="1" customWidth="1"/>
    <col min="11" max="11" width="19.53125" style="14" bestFit="1" customWidth="1"/>
  </cols>
  <sheetData>
    <row r="1" spans="1:11" s="2" customFormat="1" ht="22.45" customHeight="1" x14ac:dyDescent="0.5">
      <c r="A1" s="1" t="s">
        <v>2</v>
      </c>
      <c r="B1" s="1" t="s">
        <v>3</v>
      </c>
      <c r="C1" s="9" t="s">
        <v>42</v>
      </c>
      <c r="D1" s="9" t="s">
        <v>4</v>
      </c>
      <c r="E1" s="9" t="s">
        <v>37</v>
      </c>
      <c r="F1" s="8" t="s">
        <v>5</v>
      </c>
      <c r="G1" s="8" t="s">
        <v>38</v>
      </c>
      <c r="H1" s="9" t="s">
        <v>6</v>
      </c>
      <c r="I1" s="8" t="s">
        <v>41</v>
      </c>
      <c r="J1" s="9" t="s">
        <v>7</v>
      </c>
      <c r="K1" s="9" t="s">
        <v>8</v>
      </c>
    </row>
    <row r="2" spans="1:11" x14ac:dyDescent="0.45">
      <c r="A2" t="s">
        <v>94</v>
      </c>
      <c r="B2" t="s">
        <v>95</v>
      </c>
      <c r="D2" s="13">
        <v>34950</v>
      </c>
      <c r="E2" s="13">
        <v>34950</v>
      </c>
      <c r="F2" s="10">
        <v>0</v>
      </c>
      <c r="G2" s="6"/>
      <c r="H2" s="12">
        <v>0</v>
      </c>
      <c r="I2" s="11">
        <v>0</v>
      </c>
      <c r="J2" s="13">
        <v>0</v>
      </c>
      <c r="K2" s="7"/>
    </row>
    <row r="3" spans="1:11" x14ac:dyDescent="0.45">
      <c r="A3" t="s">
        <v>25</v>
      </c>
      <c r="B3" t="s">
        <v>26</v>
      </c>
      <c r="C3" t="s">
        <v>51</v>
      </c>
      <c r="D3" s="13">
        <v>307512</v>
      </c>
      <c r="E3" s="13">
        <v>193732.56</v>
      </c>
      <c r="F3" s="10">
        <v>0.15</v>
      </c>
      <c r="G3" s="6">
        <v>0.24</v>
      </c>
      <c r="H3" s="12">
        <v>113779.44</v>
      </c>
      <c r="I3" s="11">
        <v>0.37</v>
      </c>
      <c r="J3" s="13">
        <v>0</v>
      </c>
      <c r="K3" s="7"/>
    </row>
    <row r="4" spans="1:11" x14ac:dyDescent="0.45">
      <c r="A4" t="s">
        <v>9</v>
      </c>
      <c r="B4" t="s">
        <v>10</v>
      </c>
      <c r="C4" t="s">
        <v>43</v>
      </c>
      <c r="D4" s="13">
        <v>120239</v>
      </c>
      <c r="E4" s="13">
        <v>10839.580000000002</v>
      </c>
      <c r="F4" s="10">
        <v>0.66</v>
      </c>
      <c r="G4" s="6">
        <v>0.88</v>
      </c>
      <c r="H4" s="12">
        <v>109399.42</v>
      </c>
      <c r="I4" s="11">
        <v>0.90984971598233522</v>
      </c>
      <c r="J4" s="13">
        <v>0</v>
      </c>
      <c r="K4" s="7"/>
    </row>
    <row r="5" spans="1:11" x14ac:dyDescent="0.45">
      <c r="A5" t="s">
        <v>9</v>
      </c>
      <c r="B5" t="s">
        <v>11</v>
      </c>
      <c r="C5" t="s">
        <v>44</v>
      </c>
      <c r="D5" s="13">
        <v>43623</v>
      </c>
      <c r="E5" s="13">
        <v>0</v>
      </c>
      <c r="F5" s="10">
        <v>0.5</v>
      </c>
      <c r="G5" s="6">
        <v>0.95</v>
      </c>
      <c r="H5" s="12">
        <v>43623</v>
      </c>
      <c r="I5" s="11">
        <v>1</v>
      </c>
      <c r="J5" s="13">
        <v>0</v>
      </c>
      <c r="K5" s="7"/>
    </row>
    <row r="6" spans="1:11" x14ac:dyDescent="0.45">
      <c r="A6" t="s">
        <v>9</v>
      </c>
      <c r="B6" t="s">
        <v>12</v>
      </c>
      <c r="C6" t="s">
        <v>44</v>
      </c>
      <c r="D6" s="13">
        <v>135357</v>
      </c>
      <c r="E6" s="13">
        <v>94750</v>
      </c>
      <c r="F6" s="10">
        <v>0.1</v>
      </c>
      <c r="G6" s="6">
        <v>0.2</v>
      </c>
      <c r="H6" s="12">
        <v>40607</v>
      </c>
      <c r="I6" s="11">
        <v>0.29999926121294057</v>
      </c>
      <c r="J6" s="13">
        <v>0</v>
      </c>
      <c r="K6" s="7"/>
    </row>
    <row r="7" spans="1:11" x14ac:dyDescent="0.45">
      <c r="A7" t="s">
        <v>9</v>
      </c>
      <c r="B7" t="s">
        <v>93</v>
      </c>
      <c r="D7" s="13">
        <v>69646</v>
      </c>
      <c r="E7" s="13">
        <v>62681.4</v>
      </c>
      <c r="F7" s="10">
        <v>0.1</v>
      </c>
      <c r="G7" s="6">
        <v>0.1</v>
      </c>
      <c r="H7" s="12">
        <v>6964.6</v>
      </c>
      <c r="I7" s="11">
        <v>0.1</v>
      </c>
      <c r="J7" s="13">
        <v>0</v>
      </c>
      <c r="K7" s="7"/>
    </row>
    <row r="8" spans="1:11" x14ac:dyDescent="0.45">
      <c r="A8" t="s">
        <v>25</v>
      </c>
      <c r="B8" t="s">
        <v>27</v>
      </c>
      <c r="C8" t="s">
        <v>53</v>
      </c>
      <c r="D8" s="13">
        <v>78723</v>
      </c>
      <c r="E8" s="13">
        <v>62978.400000000001</v>
      </c>
      <c r="F8" s="10">
        <v>0</v>
      </c>
      <c r="G8" s="6">
        <v>0.19</v>
      </c>
      <c r="H8" s="12">
        <v>15744.6</v>
      </c>
      <c r="I8" s="11">
        <v>0.2</v>
      </c>
      <c r="J8" s="13">
        <v>0</v>
      </c>
      <c r="K8" s="7"/>
    </row>
    <row r="9" spans="1:11" x14ac:dyDescent="0.45">
      <c r="A9" t="s">
        <v>9</v>
      </c>
      <c r="B9" t="s">
        <v>96</v>
      </c>
      <c r="C9" t="s">
        <v>44</v>
      </c>
      <c r="D9" s="13">
        <v>14879</v>
      </c>
      <c r="E9" s="13">
        <v>14879</v>
      </c>
      <c r="F9" s="10">
        <v>0</v>
      </c>
      <c r="G9" s="6"/>
      <c r="H9" s="12">
        <v>0</v>
      </c>
      <c r="I9" s="11">
        <v>0</v>
      </c>
      <c r="J9" s="13">
        <v>0</v>
      </c>
      <c r="K9" s="7"/>
    </row>
    <row r="10" spans="1:11" x14ac:dyDescent="0.45">
      <c r="A10" t="s">
        <v>87</v>
      </c>
      <c r="B10" t="s">
        <v>88</v>
      </c>
      <c r="D10" s="13">
        <v>1596000</v>
      </c>
      <c r="E10" s="13">
        <v>1596000</v>
      </c>
      <c r="F10" s="10">
        <v>0</v>
      </c>
      <c r="G10" s="6">
        <v>0</v>
      </c>
      <c r="H10" s="12">
        <v>0</v>
      </c>
      <c r="I10" s="11">
        <v>0</v>
      </c>
      <c r="J10" s="13">
        <v>0</v>
      </c>
      <c r="K10" s="7"/>
    </row>
    <row r="11" spans="1:11" x14ac:dyDescent="0.45">
      <c r="A11" t="s">
        <v>36</v>
      </c>
      <c r="B11" t="s">
        <v>86</v>
      </c>
      <c r="C11" t="s">
        <v>56</v>
      </c>
      <c r="D11" s="13">
        <v>43773</v>
      </c>
      <c r="E11" s="13">
        <v>22324.23</v>
      </c>
      <c r="F11" s="10">
        <v>0.19</v>
      </c>
      <c r="G11" s="6">
        <v>0.25</v>
      </c>
      <c r="H11" s="12">
        <v>21448.77</v>
      </c>
      <c r="I11" s="11">
        <v>0.49</v>
      </c>
      <c r="J11" s="13">
        <v>0</v>
      </c>
      <c r="K11" s="7"/>
    </row>
    <row r="12" spans="1:11" x14ac:dyDescent="0.45">
      <c r="A12" t="s">
        <v>25</v>
      </c>
      <c r="B12" t="s">
        <v>28</v>
      </c>
      <c r="C12" t="s">
        <v>51</v>
      </c>
      <c r="D12" s="13">
        <v>28173</v>
      </c>
      <c r="E12" s="13">
        <v>0</v>
      </c>
      <c r="F12" s="10">
        <v>0</v>
      </c>
      <c r="G12" s="6">
        <v>1</v>
      </c>
      <c r="H12" s="12">
        <v>28173</v>
      </c>
      <c r="I12" s="11">
        <v>1</v>
      </c>
      <c r="J12" s="13">
        <v>0</v>
      </c>
      <c r="K12" s="7"/>
    </row>
    <row r="13" spans="1:11" x14ac:dyDescent="0.45">
      <c r="A13" t="s">
        <v>25</v>
      </c>
      <c r="B13" t="s">
        <v>29</v>
      </c>
      <c r="C13" t="s">
        <v>51</v>
      </c>
      <c r="D13" s="13">
        <v>71206</v>
      </c>
      <c r="E13" s="13">
        <v>34178.879999999997</v>
      </c>
      <c r="F13" s="10">
        <v>0.2</v>
      </c>
      <c r="G13" s="6">
        <v>0.28999999999999998</v>
      </c>
      <c r="H13" s="12">
        <v>37027.120000000003</v>
      </c>
      <c r="I13" s="11">
        <v>0.52</v>
      </c>
      <c r="J13" s="13">
        <v>0</v>
      </c>
      <c r="K13" s="7"/>
    </row>
    <row r="14" spans="1:11" x14ac:dyDescent="0.45">
      <c r="A14" t="s">
        <v>9</v>
      </c>
      <c r="B14" t="s">
        <v>13</v>
      </c>
      <c r="C14" t="s">
        <v>44</v>
      </c>
      <c r="D14" s="13">
        <v>63798</v>
      </c>
      <c r="E14" s="13">
        <v>19139.400000000001</v>
      </c>
      <c r="F14" s="10">
        <v>0.2</v>
      </c>
      <c r="G14" s="6">
        <v>0.7</v>
      </c>
      <c r="H14" s="12">
        <v>44658.6</v>
      </c>
      <c r="I14" s="11">
        <v>0.7</v>
      </c>
      <c r="J14" s="13">
        <v>0</v>
      </c>
      <c r="K14" s="7"/>
    </row>
    <row r="15" spans="1:11" x14ac:dyDescent="0.45">
      <c r="A15" t="s">
        <v>9</v>
      </c>
      <c r="B15" t="s">
        <v>97</v>
      </c>
      <c r="C15" t="s">
        <v>44</v>
      </c>
      <c r="D15" s="13">
        <v>144635</v>
      </c>
      <c r="E15" s="13">
        <v>137403.25</v>
      </c>
      <c r="F15" s="10">
        <v>0</v>
      </c>
      <c r="G15" s="6">
        <v>0</v>
      </c>
      <c r="H15" s="12">
        <v>7231.75</v>
      </c>
      <c r="I15" s="11">
        <v>0.05</v>
      </c>
      <c r="J15" s="13">
        <v>0</v>
      </c>
      <c r="K15" s="7"/>
    </row>
    <row r="16" spans="1:11" x14ac:dyDescent="0.45">
      <c r="A16" t="s">
        <v>25</v>
      </c>
      <c r="B16" t="s">
        <v>30</v>
      </c>
      <c r="C16" t="s">
        <v>55</v>
      </c>
      <c r="D16" s="13">
        <v>89350</v>
      </c>
      <c r="E16" s="13">
        <v>0</v>
      </c>
      <c r="F16" s="10">
        <v>0.84</v>
      </c>
      <c r="G16" s="6">
        <v>1</v>
      </c>
      <c r="H16" s="12">
        <v>89350</v>
      </c>
      <c r="I16" s="11">
        <v>1</v>
      </c>
      <c r="J16" s="13">
        <v>0</v>
      </c>
      <c r="K16" s="7"/>
    </row>
    <row r="17" spans="1:11" x14ac:dyDescent="0.45">
      <c r="A17" t="s">
        <v>9</v>
      </c>
      <c r="B17" t="s">
        <v>14</v>
      </c>
      <c r="C17" t="s">
        <v>44</v>
      </c>
      <c r="D17" s="13">
        <v>17033</v>
      </c>
      <c r="E17" s="13">
        <v>0</v>
      </c>
      <c r="F17" s="10">
        <v>0</v>
      </c>
      <c r="G17" s="6">
        <v>1</v>
      </c>
      <c r="H17" s="12">
        <v>17033</v>
      </c>
      <c r="I17" s="11">
        <v>1</v>
      </c>
      <c r="J17" s="13">
        <v>0</v>
      </c>
      <c r="K17" s="7"/>
    </row>
    <row r="18" spans="1:11" x14ac:dyDescent="0.45">
      <c r="A18" t="s">
        <v>9</v>
      </c>
      <c r="B18" t="s">
        <v>15</v>
      </c>
      <c r="C18" t="s">
        <v>44</v>
      </c>
      <c r="D18" s="13">
        <v>32688</v>
      </c>
      <c r="E18" s="13">
        <v>0</v>
      </c>
      <c r="F18" s="10">
        <v>0.9</v>
      </c>
      <c r="G18" s="6">
        <v>1</v>
      </c>
      <c r="H18" s="12">
        <v>32688</v>
      </c>
      <c r="I18" s="11">
        <v>1</v>
      </c>
      <c r="J18" s="13">
        <v>0</v>
      </c>
      <c r="K18" s="7"/>
    </row>
    <row r="19" spans="1:11" x14ac:dyDescent="0.45">
      <c r="A19" t="s">
        <v>89</v>
      </c>
      <c r="B19" t="s">
        <v>90</v>
      </c>
      <c r="D19" s="13">
        <v>382198</v>
      </c>
      <c r="E19" s="13">
        <v>371066</v>
      </c>
      <c r="F19" s="10">
        <v>0</v>
      </c>
      <c r="G19" s="6">
        <v>0</v>
      </c>
      <c r="H19" s="12">
        <v>11132</v>
      </c>
      <c r="I19" s="11">
        <v>2.9126264396987948E-2</v>
      </c>
      <c r="J19" s="13">
        <v>0</v>
      </c>
      <c r="K19" s="7"/>
    </row>
    <row r="20" spans="1:11" x14ac:dyDescent="0.45">
      <c r="A20" t="s">
        <v>9</v>
      </c>
      <c r="B20" t="s">
        <v>16</v>
      </c>
      <c r="C20" t="s">
        <v>44</v>
      </c>
      <c r="D20" s="13">
        <v>135357</v>
      </c>
      <c r="E20" s="13">
        <v>0</v>
      </c>
      <c r="F20" s="10">
        <v>0.5</v>
      </c>
      <c r="G20" s="6">
        <v>0.8</v>
      </c>
      <c r="H20" s="12">
        <v>135357</v>
      </c>
      <c r="I20" s="11">
        <v>1</v>
      </c>
      <c r="J20" s="13">
        <v>0</v>
      </c>
      <c r="K20" s="7"/>
    </row>
    <row r="21" spans="1:11" x14ac:dyDescent="0.45">
      <c r="A21" t="s">
        <v>9</v>
      </c>
      <c r="B21" t="s">
        <v>17</v>
      </c>
      <c r="C21" t="s">
        <v>44</v>
      </c>
      <c r="D21" s="13">
        <v>23014</v>
      </c>
      <c r="E21" s="13">
        <v>1717.5999999999985</v>
      </c>
      <c r="F21" s="10">
        <v>0.85</v>
      </c>
      <c r="G21" s="6">
        <v>0.85</v>
      </c>
      <c r="H21" s="12">
        <v>21296.400000000001</v>
      </c>
      <c r="I21" s="11">
        <v>0.92536716781089778</v>
      </c>
      <c r="J21" s="13">
        <v>0</v>
      </c>
      <c r="K21" s="7"/>
    </row>
    <row r="22" spans="1:11" x14ac:dyDescent="0.45">
      <c r="A22" t="s">
        <v>25</v>
      </c>
      <c r="B22" t="s">
        <v>31</v>
      </c>
      <c r="C22" t="s">
        <v>52</v>
      </c>
      <c r="D22" s="13">
        <v>37758</v>
      </c>
      <c r="E22" s="13">
        <v>-4638</v>
      </c>
      <c r="F22" s="10">
        <v>0.95</v>
      </c>
      <c r="G22" s="6">
        <v>1</v>
      </c>
      <c r="H22" s="12">
        <v>42396</v>
      </c>
      <c r="I22" s="11">
        <v>1.1228348959160972</v>
      </c>
      <c r="J22" s="13">
        <v>0</v>
      </c>
      <c r="K22" s="7"/>
    </row>
    <row r="23" spans="1:11" x14ac:dyDescent="0.45">
      <c r="A23" t="s">
        <v>9</v>
      </c>
      <c r="B23" t="s">
        <v>91</v>
      </c>
      <c r="D23" s="13">
        <v>587450</v>
      </c>
      <c r="E23" s="13">
        <v>558047.5</v>
      </c>
      <c r="F23" s="10">
        <v>0</v>
      </c>
      <c r="G23" s="6">
        <v>0</v>
      </c>
      <c r="H23" s="12">
        <v>29402.5</v>
      </c>
      <c r="I23" s="11">
        <v>5.0051068176014978E-2</v>
      </c>
      <c r="J23" s="13">
        <v>0</v>
      </c>
      <c r="K23" s="7"/>
    </row>
    <row r="24" spans="1:11" x14ac:dyDescent="0.45">
      <c r="A24" t="s">
        <v>22</v>
      </c>
      <c r="B24" t="s">
        <v>23</v>
      </c>
      <c r="C24" t="s">
        <v>49</v>
      </c>
      <c r="D24" s="13">
        <v>25748</v>
      </c>
      <c r="E24" s="13">
        <v>3617</v>
      </c>
      <c r="F24" s="10">
        <v>1</v>
      </c>
      <c r="G24" s="6">
        <v>1</v>
      </c>
      <c r="H24" s="12">
        <v>22131</v>
      </c>
      <c r="I24" s="11">
        <v>0.85952306975299053</v>
      </c>
      <c r="J24" s="13">
        <v>3617</v>
      </c>
      <c r="K24" s="7"/>
    </row>
    <row r="25" spans="1:11" x14ac:dyDescent="0.45">
      <c r="A25" t="s">
        <v>22</v>
      </c>
      <c r="B25" t="s">
        <v>24</v>
      </c>
      <c r="C25" t="s">
        <v>49</v>
      </c>
      <c r="D25" s="13">
        <v>42247</v>
      </c>
      <c r="E25" s="13">
        <v>35910</v>
      </c>
      <c r="F25" s="10">
        <v>0.05</v>
      </c>
      <c r="G25" s="6">
        <v>0.05</v>
      </c>
      <c r="H25" s="12">
        <v>6337</v>
      </c>
      <c r="I25" s="11">
        <v>0.1499988164840107</v>
      </c>
      <c r="J25" s="13">
        <v>0</v>
      </c>
      <c r="K25" s="7"/>
    </row>
    <row r="26" spans="1:11" x14ac:dyDescent="0.45">
      <c r="A26" t="s">
        <v>36</v>
      </c>
      <c r="B26" t="s">
        <v>92</v>
      </c>
      <c r="D26" s="13">
        <v>50988</v>
      </c>
      <c r="E26" s="13">
        <v>0</v>
      </c>
      <c r="F26" s="10">
        <v>0</v>
      </c>
      <c r="G26" s="6">
        <v>0.79</v>
      </c>
      <c r="H26" s="12">
        <v>50988</v>
      </c>
      <c r="I26" s="11">
        <v>1</v>
      </c>
      <c r="J26" s="13">
        <v>0</v>
      </c>
      <c r="K26" s="7"/>
    </row>
    <row r="27" spans="1:11" x14ac:dyDescent="0.45">
      <c r="A27" t="s">
        <v>9</v>
      </c>
      <c r="B27" t="s">
        <v>18</v>
      </c>
      <c r="C27" t="s">
        <v>46</v>
      </c>
      <c r="D27" s="13">
        <v>383634</v>
      </c>
      <c r="E27" s="13">
        <v>0</v>
      </c>
      <c r="F27" s="10">
        <v>0.98</v>
      </c>
      <c r="G27" s="6">
        <v>1</v>
      </c>
      <c r="H27" s="12">
        <v>383634</v>
      </c>
      <c r="I27" s="11">
        <v>1</v>
      </c>
      <c r="J27" s="13">
        <v>0</v>
      </c>
      <c r="K27" s="7"/>
    </row>
    <row r="28" spans="1:11" x14ac:dyDescent="0.45">
      <c r="A28" t="s">
        <v>25</v>
      </c>
      <c r="B28" t="s">
        <v>98</v>
      </c>
      <c r="C28" t="s">
        <v>51</v>
      </c>
      <c r="D28" s="13">
        <v>33151</v>
      </c>
      <c r="E28" s="13">
        <v>33151</v>
      </c>
      <c r="F28" s="10">
        <v>0</v>
      </c>
      <c r="G28" s="6">
        <v>0</v>
      </c>
      <c r="H28" s="12">
        <v>0</v>
      </c>
      <c r="I28" s="11">
        <v>0</v>
      </c>
      <c r="J28" s="13">
        <v>0</v>
      </c>
      <c r="K28" s="7"/>
    </row>
    <row r="29" spans="1:11" x14ac:dyDescent="0.45">
      <c r="A29" t="s">
        <v>9</v>
      </c>
      <c r="B29" t="s">
        <v>19</v>
      </c>
      <c r="C29" t="s">
        <v>44</v>
      </c>
      <c r="D29" s="13">
        <v>17231</v>
      </c>
      <c r="E29" s="13">
        <v>17231</v>
      </c>
      <c r="F29" s="10">
        <v>0</v>
      </c>
      <c r="G29" s="6">
        <v>0</v>
      </c>
      <c r="H29" s="12">
        <v>0</v>
      </c>
      <c r="I29" s="11">
        <v>0</v>
      </c>
      <c r="J29" s="13">
        <v>0</v>
      </c>
      <c r="K29" s="21"/>
    </row>
    <row r="30" spans="1:11" x14ac:dyDescent="0.45">
      <c r="A30" t="s">
        <v>25</v>
      </c>
      <c r="B30" t="s">
        <v>32</v>
      </c>
      <c r="C30" t="s">
        <v>52</v>
      </c>
      <c r="D30" s="13">
        <v>45334</v>
      </c>
      <c r="E30" s="13">
        <v>45334</v>
      </c>
      <c r="F30" s="10">
        <v>0</v>
      </c>
      <c r="G30" s="6">
        <v>0</v>
      </c>
      <c r="H30" s="12">
        <v>0</v>
      </c>
      <c r="I30" s="11">
        <v>0</v>
      </c>
      <c r="J30" s="13">
        <v>0</v>
      </c>
      <c r="K30" s="7"/>
    </row>
    <row r="31" spans="1:11" x14ac:dyDescent="0.45">
      <c r="A31" t="s">
        <v>21</v>
      </c>
      <c r="B31" t="s">
        <v>99</v>
      </c>
      <c r="D31" s="13">
        <v>75003</v>
      </c>
      <c r="E31" s="13">
        <v>75003</v>
      </c>
      <c r="F31" s="10">
        <v>0</v>
      </c>
      <c r="G31" s="6"/>
      <c r="H31" s="12">
        <v>0</v>
      </c>
      <c r="I31" s="11">
        <v>0</v>
      </c>
      <c r="J31" s="13">
        <v>0</v>
      </c>
      <c r="K31" s="7"/>
    </row>
    <row r="32" spans="1:11" x14ac:dyDescent="0.45">
      <c r="A32" t="s">
        <v>9</v>
      </c>
      <c r="B32" t="s">
        <v>20</v>
      </c>
      <c r="C32" t="s">
        <v>43</v>
      </c>
      <c r="D32" s="13">
        <v>338832</v>
      </c>
      <c r="E32" s="13">
        <v>0</v>
      </c>
      <c r="F32" s="10">
        <v>0.8</v>
      </c>
      <c r="G32" s="6">
        <v>0.93</v>
      </c>
      <c r="H32" s="12">
        <v>338832</v>
      </c>
      <c r="I32" s="11">
        <v>1</v>
      </c>
      <c r="J32" s="13">
        <v>0</v>
      </c>
      <c r="K32" s="7"/>
    </row>
    <row r="33" spans="1:11" x14ac:dyDescent="0.45">
      <c r="A33" t="s">
        <v>25</v>
      </c>
      <c r="B33" t="s">
        <v>33</v>
      </c>
      <c r="C33" t="s">
        <v>51</v>
      </c>
      <c r="D33" s="13">
        <v>85982</v>
      </c>
      <c r="E33" s="13">
        <v>771.01999999998952</v>
      </c>
      <c r="F33" s="10">
        <v>0.99</v>
      </c>
      <c r="G33" s="6">
        <v>1</v>
      </c>
      <c r="H33" s="12">
        <v>85210.98000000001</v>
      </c>
      <c r="I33" s="11">
        <v>0.99103277430159809</v>
      </c>
      <c r="J33" s="13">
        <v>771.01999999998952</v>
      </c>
      <c r="K33" s="7"/>
    </row>
    <row r="34" spans="1:11" x14ac:dyDescent="0.45">
      <c r="A34" t="s">
        <v>25</v>
      </c>
      <c r="B34" t="s">
        <v>34</v>
      </c>
      <c r="C34" t="s">
        <v>51</v>
      </c>
      <c r="D34" s="13">
        <v>70963</v>
      </c>
      <c r="E34" s="13">
        <v>60318.55</v>
      </c>
      <c r="F34" s="10">
        <v>0.15</v>
      </c>
      <c r="G34" s="6">
        <v>0.15</v>
      </c>
      <c r="H34" s="12">
        <v>10644.45</v>
      </c>
      <c r="I34" s="11">
        <v>0.15000000000000002</v>
      </c>
      <c r="J34" s="13">
        <v>0</v>
      </c>
      <c r="K34" s="7"/>
    </row>
    <row r="35" spans="1:11" x14ac:dyDescent="0.45">
      <c r="A35" t="s">
        <v>100</v>
      </c>
      <c r="B35" t="s">
        <v>101</v>
      </c>
      <c r="D35" s="13">
        <v>49080</v>
      </c>
      <c r="E35" s="13">
        <v>49080</v>
      </c>
      <c r="F35" s="10">
        <v>0</v>
      </c>
      <c r="G35" s="6"/>
      <c r="H35" s="12">
        <v>0</v>
      </c>
      <c r="I35" s="11">
        <v>0</v>
      </c>
      <c r="J35" s="13">
        <v>0</v>
      </c>
      <c r="K35" s="7"/>
    </row>
    <row r="36" spans="1:11" x14ac:dyDescent="0.45">
      <c r="A36" t="s">
        <v>25</v>
      </c>
      <c r="B36" t="s">
        <v>35</v>
      </c>
      <c r="C36" t="s">
        <v>52</v>
      </c>
      <c r="D36" s="13">
        <v>119571</v>
      </c>
      <c r="E36" s="13">
        <v>19990.699999999997</v>
      </c>
      <c r="F36" s="10">
        <v>0.83</v>
      </c>
      <c r="G36" s="6">
        <v>1</v>
      </c>
      <c r="H36" s="12">
        <v>99580.3</v>
      </c>
      <c r="I36" s="11">
        <v>0.83281314030994136</v>
      </c>
      <c r="J36" s="13">
        <v>19990.699999999997</v>
      </c>
      <c r="K36" s="7"/>
    </row>
  </sheetData>
  <sheetProtection sheet="1" formatCells="0" selectLockedCells="1" selectUnlockedCells="1"/>
  <sortState xmlns:xlrd2="http://schemas.microsoft.com/office/spreadsheetml/2017/richdata2" ref="A2:K36">
    <sortCondition ref="B2:B36"/>
  </sortState>
  <conditionalFormatting sqref="A1:K1">
    <cfRule type="expression" dxfId="43" priority="2">
      <formula>AND(MOD(ROW(),2)=0, COUNTA($A1:$W1)&gt;0)</formula>
    </cfRule>
  </conditionalFormatting>
  <conditionalFormatting sqref="A1048554:K1048576">
    <cfRule type="expression" dxfId="42" priority="3">
      <formula>AND(MOD(ROW(),2)=0, COUNTA($A1048554:$AB1048555)&gt;0)</formula>
    </cfRule>
  </conditionalFormatting>
  <conditionalFormatting sqref="A37:K87">
    <cfRule type="expression" dxfId="41" priority="1">
      <formula>$G37=1</formula>
    </cfRule>
  </conditionalFormatting>
  <conditionalFormatting sqref="A2:K36">
    <cfRule type="expression" dxfId="40" priority="13">
      <formula>$G2=1</formula>
    </cfRule>
    <cfRule type="expression" dxfId="39" priority="16">
      <formula>ISEVEN(ROW())</formula>
    </cfRule>
  </conditionalFormatting>
  <conditionalFormatting sqref="G2:G36">
    <cfRule type="expression" dxfId="38" priority="14" stopIfTrue="1">
      <formula>NOT(ISBLANK($B2))</formula>
    </cfRule>
    <cfRule type="expression" dxfId="37" priority="17">
      <formula>$G2&lt;$I2</formula>
    </cfRule>
    <cfRule type="expression" dxfId="36" priority="18" stopIfTrue="1">
      <formula>NOT(ISBLANK($B2))</formula>
    </cfRule>
  </conditionalFormatting>
  <conditionalFormatting sqref="K2:K36">
    <cfRule type="expression" dxfId="35" priority="15" stopIfTrue="1">
      <formula>NOT(ISBLANK($B2))</formula>
    </cfRule>
    <cfRule type="expression" dxfId="34" priority="19" stopIfTrue="1">
      <formula>NOT(ISBLANK($B2))</formula>
    </cfRule>
  </conditionalFormatting>
  <conditionalFormatting sqref="A38:B1048553 D38:K1048553">
    <cfRule type="expression" dxfId="33" priority="52">
      <formula>AND(MOD(ROW(),2)=0, COUNTA($A37:$W37)&gt;0)</formula>
    </cfRule>
  </conditionalFormatting>
  <conditionalFormatting sqref="H38:I87">
    <cfRule type="expression" dxfId="32" priority="54">
      <formula>H38&lt;G38</formula>
    </cfRule>
    <cfRule type="expression" dxfId="31" priority="55">
      <formula>COUNTA($A37:$W37)&gt;0</formula>
    </cfRule>
  </conditionalFormatting>
  <conditionalFormatting sqref="A37:B37 D37:K37">
    <cfRule type="expression" dxfId="30" priority="57">
      <formula>AND(MOD(ROW(),2)=0, COUNTA(#REF!)&gt;0)</formula>
    </cfRule>
  </conditionalFormatting>
  <conditionalFormatting sqref="H37:I37">
    <cfRule type="expression" dxfId="29" priority="61">
      <formula>H37&lt;G37</formula>
    </cfRule>
    <cfRule type="expression" dxfId="28" priority="62">
      <formula>COUNTA(#REF!)&gt;0</formula>
    </cfRule>
  </conditionalFormatting>
  <dataValidations count="1">
    <dataValidation type="decimal" allowBlank="1" showInputMessage="1" showErrorMessage="1" error="&quot;Value must be between 0% and 100%&quot;" sqref="I2:I36 H37:I78" xr:uid="{C5A84DB8-C4E6-499D-A3E9-FD3EF73C92A5}">
      <formula1>0</formula1>
      <formula2>1</formula2>
    </dataValidation>
  </dataValidations>
  <printOptions horizontalCentered="1" verticalCentered="1"/>
  <pageMargins left="0.25" right="0.25" top="0.25" bottom="0.2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230E-1DA1-475B-A05F-CFFABDA53865}">
  <sheetPr codeName="Sheet10">
    <pageSetUpPr fitToPage="1"/>
  </sheetPr>
  <dimension ref="A1:M25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G21" sqref="G21"/>
    </sheetView>
  </sheetViews>
  <sheetFormatPr defaultRowHeight="14.25" x14ac:dyDescent="0.45"/>
  <cols>
    <col min="1" max="1" width="22.86328125" bestFit="1" customWidth="1"/>
    <col min="2" max="2" width="33.19921875" bestFit="1" customWidth="1"/>
    <col min="3" max="3" width="32.33203125" hidden="1" customWidth="1"/>
    <col min="4" max="4" width="16.9296875" style="14" customWidth="1"/>
    <col min="5" max="5" width="12.33203125" style="14" customWidth="1"/>
    <col min="6" max="6" width="16.19921875" style="15" customWidth="1"/>
    <col min="7" max="7" width="11.46484375" style="15" customWidth="1"/>
    <col min="8" max="8" width="15.53125" style="14" customWidth="1"/>
    <col min="9" max="9" width="17.59765625" style="15" customWidth="1"/>
    <col min="10" max="10" width="16.33203125" style="14" bestFit="1" customWidth="1"/>
    <col min="11" max="11" width="19.53125" style="14" bestFit="1" customWidth="1"/>
    <col min="13" max="13" width="9.6640625" bestFit="1" customWidth="1"/>
  </cols>
  <sheetData>
    <row r="1" spans="1:11" s="2" customFormat="1" ht="22.45" customHeight="1" x14ac:dyDescent="0.5">
      <c r="A1" s="1" t="s">
        <v>2</v>
      </c>
      <c r="B1" s="1" t="s">
        <v>3</v>
      </c>
      <c r="C1" s="9" t="s">
        <v>42</v>
      </c>
      <c r="D1" s="9" t="s">
        <v>4</v>
      </c>
      <c r="E1" s="9" t="s">
        <v>37</v>
      </c>
      <c r="F1" s="8" t="s">
        <v>5</v>
      </c>
      <c r="G1" s="8" t="s">
        <v>38</v>
      </c>
      <c r="H1" s="9" t="s">
        <v>6</v>
      </c>
      <c r="I1" s="8" t="s">
        <v>41</v>
      </c>
      <c r="J1" s="9" t="s">
        <v>7</v>
      </c>
      <c r="K1" s="9" t="s">
        <v>8</v>
      </c>
    </row>
    <row r="2" spans="1:11" x14ac:dyDescent="0.45">
      <c r="A2" t="s">
        <v>94</v>
      </c>
      <c r="B2" t="s">
        <v>95</v>
      </c>
      <c r="D2" s="13">
        <v>34950</v>
      </c>
      <c r="E2" s="13">
        <f t="shared" ref="E2:E25" si="0">D2-H2</f>
        <v>34950</v>
      </c>
      <c r="F2" s="10">
        <f>'December 2025'!G2</f>
        <v>0</v>
      </c>
      <c r="G2" s="6"/>
      <c r="H2" s="12">
        <f>'December 2025'!H2 + 'December 2025'!K2</f>
        <v>0</v>
      </c>
      <c r="I2" s="11">
        <f t="shared" ref="I2:I25" si="1">IF(D2=0, 0, H2/D2)</f>
        <v>0</v>
      </c>
      <c r="J2" s="13">
        <f t="shared" ref="J2:J25" si="2">MAX(D2*G2-H2,0)</f>
        <v>0</v>
      </c>
      <c r="K2" s="7"/>
    </row>
    <row r="3" spans="1:11" x14ac:dyDescent="0.45">
      <c r="A3" t="s">
        <v>25</v>
      </c>
      <c r="B3" t="s">
        <v>26</v>
      </c>
      <c r="C3" t="s">
        <v>51</v>
      </c>
      <c r="D3" s="13">
        <v>307512</v>
      </c>
      <c r="E3" s="13">
        <f t="shared" si="0"/>
        <v>199882.8</v>
      </c>
      <c r="F3" s="10">
        <f>'December 2025'!G3</f>
        <v>0.24</v>
      </c>
      <c r="G3" s="6">
        <v>0.46</v>
      </c>
      <c r="H3" s="12">
        <v>107629.2</v>
      </c>
      <c r="I3" s="11">
        <f t="shared" si="1"/>
        <v>0.35</v>
      </c>
      <c r="J3" s="13">
        <f t="shared" si="2"/>
        <v>33826.320000000022</v>
      </c>
      <c r="K3" s="7">
        <v>33826.32</v>
      </c>
    </row>
    <row r="4" spans="1:11" x14ac:dyDescent="0.45">
      <c r="A4" t="s">
        <v>9</v>
      </c>
      <c r="B4" t="s">
        <v>10</v>
      </c>
      <c r="C4" t="s">
        <v>43</v>
      </c>
      <c r="D4" s="13">
        <v>120239</v>
      </c>
      <c r="E4" s="13">
        <f t="shared" si="0"/>
        <v>10839.580000000002</v>
      </c>
      <c r="F4" s="10">
        <f>'December 2025'!G4</f>
        <v>0.88</v>
      </c>
      <c r="G4" s="6">
        <v>0.88</v>
      </c>
      <c r="H4" s="12">
        <f>'December 2025'!H4 + 'December 2025'!K4</f>
        <v>109399.42</v>
      </c>
      <c r="I4" s="11">
        <f t="shared" si="1"/>
        <v>0.90984971598233522</v>
      </c>
      <c r="J4" s="13">
        <f t="shared" si="2"/>
        <v>0</v>
      </c>
      <c r="K4" s="7"/>
    </row>
    <row r="5" spans="1:11" x14ac:dyDescent="0.45">
      <c r="A5" t="s">
        <v>9</v>
      </c>
      <c r="B5" t="s">
        <v>12</v>
      </c>
      <c r="C5" t="s">
        <v>44</v>
      </c>
      <c r="D5" s="13">
        <v>135357</v>
      </c>
      <c r="E5" s="13">
        <f t="shared" si="0"/>
        <v>94750</v>
      </c>
      <c r="F5" s="10">
        <f>'December 2025'!G6</f>
        <v>0.2</v>
      </c>
      <c r="G5" s="6">
        <v>0.4</v>
      </c>
      <c r="H5" s="12">
        <f>'December 2025'!H6 + 'December 2025'!K6</f>
        <v>40607</v>
      </c>
      <c r="I5" s="11">
        <f t="shared" si="1"/>
        <v>0.29999926121294057</v>
      </c>
      <c r="J5" s="13">
        <f t="shared" si="2"/>
        <v>13535.800000000003</v>
      </c>
      <c r="K5" s="7">
        <v>15529.11</v>
      </c>
    </row>
    <row r="6" spans="1:11" x14ac:dyDescent="0.45">
      <c r="A6" t="s">
        <v>9</v>
      </c>
      <c r="B6" t="s">
        <v>93</v>
      </c>
      <c r="D6" s="13">
        <v>69646</v>
      </c>
      <c r="E6" s="13">
        <f t="shared" si="0"/>
        <v>62681.4</v>
      </c>
      <c r="F6" s="10">
        <f>'December 2025'!G7</f>
        <v>0.1</v>
      </c>
      <c r="G6" s="6">
        <v>0.1</v>
      </c>
      <c r="H6" s="12">
        <f>'December 2025'!H7 + 'December 2025'!K7</f>
        <v>6964.6</v>
      </c>
      <c r="I6" s="11">
        <f t="shared" si="1"/>
        <v>0.1</v>
      </c>
      <c r="J6" s="13">
        <f t="shared" si="2"/>
        <v>0</v>
      </c>
      <c r="K6" s="7"/>
    </row>
    <row r="7" spans="1:11" x14ac:dyDescent="0.45">
      <c r="A7" t="s">
        <v>25</v>
      </c>
      <c r="B7" t="s">
        <v>27</v>
      </c>
      <c r="C7" t="s">
        <v>53</v>
      </c>
      <c r="D7" s="13">
        <v>78723</v>
      </c>
      <c r="E7" s="13">
        <f t="shared" si="0"/>
        <v>62978.400000000001</v>
      </c>
      <c r="F7" s="10">
        <f>'December 2025'!G8</f>
        <v>0.19</v>
      </c>
      <c r="G7" s="6">
        <v>0.19</v>
      </c>
      <c r="H7" s="12">
        <f>'December 2025'!H8 + 'December 2025'!K8</f>
        <v>15744.6</v>
      </c>
      <c r="I7" s="11">
        <f t="shared" si="1"/>
        <v>0.2</v>
      </c>
      <c r="J7" s="13">
        <f t="shared" si="2"/>
        <v>0</v>
      </c>
      <c r="K7" s="7"/>
    </row>
    <row r="8" spans="1:11" x14ac:dyDescent="0.45">
      <c r="A8" t="s">
        <v>9</v>
      </c>
      <c r="B8" t="s">
        <v>96</v>
      </c>
      <c r="C8" t="s">
        <v>44</v>
      </c>
      <c r="D8" s="13">
        <v>14879</v>
      </c>
      <c r="E8" s="13">
        <f t="shared" si="0"/>
        <v>14879</v>
      </c>
      <c r="F8" s="10">
        <f>'December 2025'!G9</f>
        <v>0</v>
      </c>
      <c r="G8" s="6"/>
      <c r="H8" s="12">
        <f>'December 2025'!H9 + 'December 2025'!K9</f>
        <v>0</v>
      </c>
      <c r="I8" s="11">
        <f t="shared" si="1"/>
        <v>0</v>
      </c>
      <c r="J8" s="13">
        <f t="shared" si="2"/>
        <v>0</v>
      </c>
      <c r="K8" s="7"/>
    </row>
    <row r="9" spans="1:11" x14ac:dyDescent="0.45">
      <c r="A9" t="s">
        <v>87</v>
      </c>
      <c r="B9" t="s">
        <v>88</v>
      </c>
      <c r="D9" s="13">
        <v>1596000</v>
      </c>
      <c r="E9" s="13">
        <f t="shared" si="0"/>
        <v>1596000</v>
      </c>
      <c r="F9" s="10">
        <f>'December 2025'!G10</f>
        <v>0</v>
      </c>
      <c r="G9" s="6"/>
      <c r="H9" s="12">
        <f>'December 2025'!H10 + 'December 2025'!K10</f>
        <v>0</v>
      </c>
      <c r="I9" s="11">
        <f t="shared" si="1"/>
        <v>0</v>
      </c>
      <c r="J9" s="13">
        <f t="shared" si="2"/>
        <v>0</v>
      </c>
      <c r="K9" s="7">
        <v>209852</v>
      </c>
    </row>
    <row r="10" spans="1:11" x14ac:dyDescent="0.45">
      <c r="A10" t="s">
        <v>36</v>
      </c>
      <c r="B10" t="s">
        <v>86</v>
      </c>
      <c r="C10" t="s">
        <v>56</v>
      </c>
      <c r="D10" s="13">
        <v>43773</v>
      </c>
      <c r="E10" s="13">
        <f t="shared" si="0"/>
        <v>22324.23</v>
      </c>
      <c r="F10" s="10">
        <f>'December 2025'!G11</f>
        <v>0.25</v>
      </c>
      <c r="G10" s="6">
        <v>0.94</v>
      </c>
      <c r="H10" s="12">
        <f>'December 2025'!H11 + 'December 2025'!K11</f>
        <v>21448.77</v>
      </c>
      <c r="I10" s="11">
        <f t="shared" si="1"/>
        <v>0.49</v>
      </c>
      <c r="J10" s="13">
        <f t="shared" si="2"/>
        <v>19697.849999999995</v>
      </c>
      <c r="K10" s="7">
        <v>20135.580000000002</v>
      </c>
    </row>
    <row r="11" spans="1:11" x14ac:dyDescent="0.45">
      <c r="A11" t="s">
        <v>25</v>
      </c>
      <c r="B11" t="s">
        <v>29</v>
      </c>
      <c r="C11" t="s">
        <v>51</v>
      </c>
      <c r="D11" s="13">
        <v>71206</v>
      </c>
      <c r="E11" s="13">
        <f t="shared" si="0"/>
        <v>34178.879999999997</v>
      </c>
      <c r="F11" s="10">
        <f>'December 2025'!G13</f>
        <v>0.28999999999999998</v>
      </c>
      <c r="G11" s="6">
        <v>0.74</v>
      </c>
      <c r="H11" s="12">
        <f>'December 2025'!H13 + 'December 2025'!K13</f>
        <v>37027.120000000003</v>
      </c>
      <c r="I11" s="11">
        <f t="shared" si="1"/>
        <v>0.52</v>
      </c>
      <c r="J11" s="13">
        <f t="shared" si="2"/>
        <v>15665.32</v>
      </c>
      <c r="K11" s="7">
        <v>15665.32</v>
      </c>
    </row>
    <row r="12" spans="1:11" x14ac:dyDescent="0.45">
      <c r="A12" t="s">
        <v>9</v>
      </c>
      <c r="B12" t="s">
        <v>13</v>
      </c>
      <c r="C12" t="s">
        <v>44</v>
      </c>
      <c r="D12" s="13">
        <v>63798</v>
      </c>
      <c r="E12" s="13">
        <f t="shared" si="0"/>
        <v>19139.400000000001</v>
      </c>
      <c r="F12" s="10">
        <f>'December 2025'!G14</f>
        <v>0.7</v>
      </c>
      <c r="G12" s="6">
        <v>0.7</v>
      </c>
      <c r="H12" s="12">
        <f>'December 2025'!H14 + 'December 2025'!K14</f>
        <v>44658.6</v>
      </c>
      <c r="I12" s="11">
        <f t="shared" si="1"/>
        <v>0.7</v>
      </c>
      <c r="J12" s="13">
        <f t="shared" si="2"/>
        <v>0</v>
      </c>
      <c r="K12" s="7"/>
    </row>
    <row r="13" spans="1:11" x14ac:dyDescent="0.45">
      <c r="A13" t="s">
        <v>9</v>
      </c>
      <c r="B13" t="s">
        <v>97</v>
      </c>
      <c r="C13" t="s">
        <v>44</v>
      </c>
      <c r="D13" s="13">
        <v>144635</v>
      </c>
      <c r="E13" s="13">
        <f t="shared" si="0"/>
        <v>137403.25</v>
      </c>
      <c r="F13" s="10">
        <f>'December 2025'!G15</f>
        <v>0</v>
      </c>
      <c r="G13" s="6">
        <v>0.05</v>
      </c>
      <c r="H13" s="12">
        <f>'December 2025'!H15 + 'December 2025'!K15</f>
        <v>7231.75</v>
      </c>
      <c r="I13" s="11">
        <f t="shared" si="1"/>
        <v>0.05</v>
      </c>
      <c r="J13" s="13">
        <f t="shared" si="2"/>
        <v>0</v>
      </c>
      <c r="K13" s="7"/>
    </row>
    <row r="14" spans="1:11" x14ac:dyDescent="0.45">
      <c r="A14" t="s">
        <v>89</v>
      </c>
      <c r="B14" t="s">
        <v>90</v>
      </c>
      <c r="D14" s="13">
        <v>382198</v>
      </c>
      <c r="E14" s="13">
        <f t="shared" si="0"/>
        <v>371066</v>
      </c>
      <c r="F14" s="10">
        <f>'December 2025'!G19</f>
        <v>0</v>
      </c>
      <c r="G14" s="6">
        <v>0</v>
      </c>
      <c r="H14" s="12">
        <f>'December 2025'!H19 + 'December 2025'!K19</f>
        <v>11132</v>
      </c>
      <c r="I14" s="11">
        <f t="shared" si="1"/>
        <v>2.9126264396987948E-2</v>
      </c>
      <c r="J14" s="13">
        <f t="shared" si="2"/>
        <v>0</v>
      </c>
      <c r="K14" s="7"/>
    </row>
    <row r="15" spans="1:11" x14ac:dyDescent="0.45">
      <c r="A15" t="s">
        <v>9</v>
      </c>
      <c r="B15" t="s">
        <v>17</v>
      </c>
      <c r="C15" t="s">
        <v>44</v>
      </c>
      <c r="D15" s="13">
        <v>23014</v>
      </c>
      <c r="E15" s="13">
        <f t="shared" si="0"/>
        <v>1717.5999999999985</v>
      </c>
      <c r="F15" s="10">
        <f>'December 2025'!G21</f>
        <v>0.85</v>
      </c>
      <c r="G15" s="6">
        <v>0.85</v>
      </c>
      <c r="H15" s="12">
        <f>'December 2025'!H21 + 'December 2025'!K21</f>
        <v>21296.400000000001</v>
      </c>
      <c r="I15" s="11">
        <f t="shared" si="1"/>
        <v>0.92536716781089778</v>
      </c>
      <c r="J15" s="13">
        <f t="shared" si="2"/>
        <v>0</v>
      </c>
      <c r="K15" s="7"/>
    </row>
    <row r="16" spans="1:11" x14ac:dyDescent="0.45">
      <c r="A16" t="s">
        <v>9</v>
      </c>
      <c r="B16" t="s">
        <v>91</v>
      </c>
      <c r="D16" s="13">
        <v>587450</v>
      </c>
      <c r="E16" s="13">
        <f t="shared" si="0"/>
        <v>558047.5</v>
      </c>
      <c r="F16" s="10">
        <f>'December 2025'!G23</f>
        <v>0</v>
      </c>
      <c r="G16" s="6">
        <v>0.09</v>
      </c>
      <c r="H16" s="12">
        <f>'December 2025'!H23 + 'December 2025'!K23</f>
        <v>29402.5</v>
      </c>
      <c r="I16" s="11">
        <f t="shared" si="1"/>
        <v>5.0051068176014978E-2</v>
      </c>
      <c r="J16" s="13">
        <f t="shared" si="2"/>
        <v>23468</v>
      </c>
      <c r="K16" s="7">
        <f>45000+245.18</f>
        <v>45245.18</v>
      </c>
    </row>
    <row r="17" spans="1:13" x14ac:dyDescent="0.45">
      <c r="A17" t="s">
        <v>22</v>
      </c>
      <c r="B17" t="s">
        <v>24</v>
      </c>
      <c r="C17" t="s">
        <v>49</v>
      </c>
      <c r="D17" s="13">
        <v>42247</v>
      </c>
      <c r="E17" s="13">
        <f t="shared" si="0"/>
        <v>35910</v>
      </c>
      <c r="F17" s="10">
        <f>'December 2025'!G25</f>
        <v>0.05</v>
      </c>
      <c r="G17" s="6">
        <v>0.1</v>
      </c>
      <c r="H17" s="12">
        <f>'December 2025'!H25 + 'December 2025'!K25</f>
        <v>6337</v>
      </c>
      <c r="I17" s="11">
        <f t="shared" si="1"/>
        <v>0.1499988164840107</v>
      </c>
      <c r="J17" s="13">
        <f t="shared" si="2"/>
        <v>0</v>
      </c>
      <c r="K17" s="7"/>
    </row>
    <row r="18" spans="1:13" x14ac:dyDescent="0.45">
      <c r="A18" t="s">
        <v>25</v>
      </c>
      <c r="B18" t="s">
        <v>98</v>
      </c>
      <c r="C18" t="s">
        <v>51</v>
      </c>
      <c r="D18" s="13">
        <v>33151</v>
      </c>
      <c r="E18" s="13">
        <f t="shared" si="0"/>
        <v>33151</v>
      </c>
      <c r="F18" s="10">
        <f>'December 2025'!G28</f>
        <v>0</v>
      </c>
      <c r="G18" s="6"/>
      <c r="H18" s="12">
        <f>'December 2025'!H28 + 'December 2025'!K28</f>
        <v>0</v>
      </c>
      <c r="I18" s="11">
        <f t="shared" si="1"/>
        <v>0</v>
      </c>
      <c r="J18" s="13">
        <f t="shared" si="2"/>
        <v>0</v>
      </c>
      <c r="K18" s="7">
        <v>4972.6499999999996</v>
      </c>
    </row>
    <row r="19" spans="1:13" x14ac:dyDescent="0.45">
      <c r="A19" t="s">
        <v>9</v>
      </c>
      <c r="B19" t="s">
        <v>19</v>
      </c>
      <c r="C19" t="s">
        <v>44</v>
      </c>
      <c r="D19" s="13">
        <v>17231</v>
      </c>
      <c r="E19" s="13">
        <f t="shared" si="0"/>
        <v>17231</v>
      </c>
      <c r="F19" s="10">
        <f>'December 2025'!G29</f>
        <v>0</v>
      </c>
      <c r="G19" s="6"/>
      <c r="H19" s="12">
        <f>'December 2025'!H29 + 'December 2025'!K29</f>
        <v>0</v>
      </c>
      <c r="I19" s="11">
        <f t="shared" si="1"/>
        <v>0</v>
      </c>
      <c r="J19" s="13">
        <f t="shared" si="2"/>
        <v>0</v>
      </c>
      <c r="K19" s="21"/>
    </row>
    <row r="20" spans="1:13" x14ac:dyDescent="0.45">
      <c r="A20" t="s">
        <v>25</v>
      </c>
      <c r="B20" t="s">
        <v>32</v>
      </c>
      <c r="C20" t="s">
        <v>52</v>
      </c>
      <c r="D20" s="13">
        <v>45334</v>
      </c>
      <c r="E20" s="13">
        <f t="shared" si="0"/>
        <v>45334</v>
      </c>
      <c r="F20" s="10">
        <f>'December 2025'!G30</f>
        <v>0</v>
      </c>
      <c r="G20" s="6"/>
      <c r="H20" s="12">
        <f>'December 2025'!H30 + 'December 2025'!K30</f>
        <v>0</v>
      </c>
      <c r="I20" s="11">
        <f t="shared" si="1"/>
        <v>0</v>
      </c>
      <c r="J20" s="13">
        <f t="shared" si="2"/>
        <v>0</v>
      </c>
      <c r="K20" s="7"/>
    </row>
    <row r="21" spans="1:13" x14ac:dyDescent="0.45">
      <c r="A21" t="s">
        <v>21</v>
      </c>
      <c r="B21" t="s">
        <v>99</v>
      </c>
      <c r="D21" s="13">
        <v>75003</v>
      </c>
      <c r="E21" s="13">
        <f t="shared" si="0"/>
        <v>75003</v>
      </c>
      <c r="F21" s="10">
        <f>'December 2025'!G31</f>
        <v>0</v>
      </c>
      <c r="G21" s="6">
        <v>0.28999999999999998</v>
      </c>
      <c r="H21" s="12">
        <f>'December 2025'!H31 + 'December 2025'!K31</f>
        <v>0</v>
      </c>
      <c r="I21" s="11">
        <f t="shared" si="1"/>
        <v>0</v>
      </c>
      <c r="J21" s="13">
        <f t="shared" si="2"/>
        <v>21750.87</v>
      </c>
      <c r="K21" s="7">
        <f>21750.87+12000</f>
        <v>33750.869999999995</v>
      </c>
      <c r="M21" s="14"/>
    </row>
    <row r="22" spans="1:13" x14ac:dyDescent="0.45">
      <c r="A22" t="s">
        <v>9</v>
      </c>
      <c r="B22" t="s">
        <v>20</v>
      </c>
      <c r="C22" t="s">
        <v>43</v>
      </c>
      <c r="D22" s="13">
        <v>338832</v>
      </c>
      <c r="E22" s="13">
        <f t="shared" si="0"/>
        <v>0</v>
      </c>
      <c r="F22" s="10">
        <f>'December 2025'!G32</f>
        <v>0.93</v>
      </c>
      <c r="G22" s="6">
        <v>1</v>
      </c>
      <c r="H22" s="12">
        <f>'December 2025'!H32 + 'December 2025'!K32</f>
        <v>338832</v>
      </c>
      <c r="I22" s="11">
        <f t="shared" si="1"/>
        <v>1</v>
      </c>
      <c r="J22" s="13">
        <f t="shared" si="2"/>
        <v>0</v>
      </c>
      <c r="K22" s="7">
        <v>6659.14</v>
      </c>
    </row>
    <row r="23" spans="1:13" x14ac:dyDescent="0.45">
      <c r="A23" t="s">
        <v>25</v>
      </c>
      <c r="B23" t="s">
        <v>34</v>
      </c>
      <c r="C23" t="s">
        <v>51</v>
      </c>
      <c r="D23" s="13">
        <v>70963</v>
      </c>
      <c r="E23" s="13">
        <f t="shared" si="0"/>
        <v>60318.55</v>
      </c>
      <c r="F23" s="10">
        <f>'December 2025'!G34</f>
        <v>0.15</v>
      </c>
      <c r="G23" s="6">
        <v>0.31</v>
      </c>
      <c r="H23" s="12">
        <f>'December 2025'!H34 + 'December 2025'!K34</f>
        <v>10644.45</v>
      </c>
      <c r="I23" s="11">
        <f t="shared" si="1"/>
        <v>0.15000000000000002</v>
      </c>
      <c r="J23" s="13">
        <f t="shared" si="2"/>
        <v>11354.079999999998</v>
      </c>
      <c r="K23" s="7">
        <v>11354.08</v>
      </c>
    </row>
    <row r="24" spans="1:13" x14ac:dyDescent="0.45">
      <c r="A24" t="s">
        <v>102</v>
      </c>
      <c r="B24" t="s">
        <v>103</v>
      </c>
      <c r="D24" s="13"/>
      <c r="E24" s="13"/>
      <c r="F24" s="10"/>
      <c r="G24" s="6"/>
      <c r="H24" s="12"/>
      <c r="I24" s="11"/>
      <c r="J24" s="13"/>
      <c r="K24" s="7"/>
    </row>
    <row r="25" spans="1:13" x14ac:dyDescent="0.45">
      <c r="A25" t="s">
        <v>100</v>
      </c>
      <c r="B25" t="s">
        <v>101</v>
      </c>
      <c r="D25" s="13">
        <v>49080</v>
      </c>
      <c r="E25" s="13">
        <f t="shared" si="0"/>
        <v>49080</v>
      </c>
      <c r="F25" s="10">
        <f>'December 2025'!G35</f>
        <v>0</v>
      </c>
      <c r="G25" s="6"/>
      <c r="H25" s="12">
        <f>'December 2025'!H35 + 'December 2025'!K35</f>
        <v>0</v>
      </c>
      <c r="I25" s="11">
        <f t="shared" si="1"/>
        <v>0</v>
      </c>
      <c r="J25" s="13">
        <f t="shared" si="2"/>
        <v>0</v>
      </c>
      <c r="K25" s="7"/>
    </row>
  </sheetData>
  <sheetProtection sheet="1" formatCells="0" selectLockedCells="1" selectUnlockedCells="1"/>
  <sortState xmlns:xlrd2="http://schemas.microsoft.com/office/spreadsheetml/2017/richdata2" ref="A2:K25">
    <sortCondition ref="B2:B25"/>
  </sortState>
  <conditionalFormatting sqref="A1:K1">
    <cfRule type="expression" dxfId="27" priority="2">
      <formula>AND(MOD(ROW(),2)=0, COUNTA($A1:$W1)&gt;0)</formula>
    </cfRule>
  </conditionalFormatting>
  <conditionalFormatting sqref="A1048544:K1048576">
    <cfRule type="expression" dxfId="26" priority="3">
      <formula>AND(MOD(ROW(),2)=0, COUNTA($A1048544:$AB1048545)&gt;0)</formula>
    </cfRule>
  </conditionalFormatting>
  <conditionalFormatting sqref="A26:K77">
    <cfRule type="expression" dxfId="25" priority="1">
      <formula>$G26=1</formula>
    </cfRule>
  </conditionalFormatting>
  <conditionalFormatting sqref="A26:B1048543 D26:K1048543">
    <cfRule type="expression" dxfId="24" priority="11">
      <formula>AND(MOD(ROW(),2)=0, COUNTA($A25:$W25)&gt;0)</formula>
    </cfRule>
  </conditionalFormatting>
  <conditionalFormatting sqref="H26:I77">
    <cfRule type="expression" dxfId="23" priority="12">
      <formula>H26&lt;G26</formula>
    </cfRule>
    <cfRule type="expression" dxfId="22" priority="13">
      <formula>COUNTA($A25:$W25)&gt;0</formula>
    </cfRule>
  </conditionalFormatting>
  <conditionalFormatting sqref="A2:K25">
    <cfRule type="expression" dxfId="21" priority="14">
      <formula>$G2=1</formula>
    </cfRule>
    <cfRule type="expression" dxfId="20" priority="17">
      <formula>ISEVEN(ROW())</formula>
    </cfRule>
  </conditionalFormatting>
  <conditionalFormatting sqref="G2:G25">
    <cfRule type="expression" dxfId="19" priority="15" stopIfTrue="1">
      <formula>NOT(ISBLANK($B2))</formula>
    </cfRule>
    <cfRule type="expression" dxfId="18" priority="18">
      <formula>$G2&lt;$I2</formula>
    </cfRule>
    <cfRule type="expression" dxfId="17" priority="19" stopIfTrue="1">
      <formula>NOT(ISBLANK($B2))</formula>
    </cfRule>
  </conditionalFormatting>
  <conditionalFormatting sqref="K2:K25">
    <cfRule type="expression" dxfId="16" priority="16" stopIfTrue="1">
      <formula>NOT(ISBLANK($B2))</formula>
    </cfRule>
    <cfRule type="expression" dxfId="15" priority="20" stopIfTrue="1">
      <formula>NOT(ISBLANK($B2))</formula>
    </cfRule>
  </conditionalFormatting>
  <dataValidations disablePrompts="1" count="1">
    <dataValidation type="decimal" allowBlank="1" showInputMessage="1" showErrorMessage="1" error="&quot;Value must be between 0% and 100%&quot;" sqref="H26:H68 I2:I68" xr:uid="{5B56BAC2-30F8-4254-B6DD-774DAD6887C6}">
      <formula1>0</formula1>
      <formula2>1</formula2>
    </dataValidation>
  </dataValidations>
  <printOptions horizontalCentered="1" verticalCentered="1"/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31F1-748E-41C7-815D-D2DCABA5A6D1}">
  <sheetPr codeName="Sheet11">
    <pageSetUpPr fitToPage="1"/>
  </sheetPr>
  <dimension ref="A1:M32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4.25" x14ac:dyDescent="0.45"/>
  <cols>
    <col min="1" max="1" width="22.86328125" bestFit="1" customWidth="1"/>
    <col min="2" max="2" width="27" bestFit="1" customWidth="1"/>
    <col min="3" max="3" width="32.33203125" customWidth="1"/>
    <col min="4" max="4" width="16.9296875" style="14" customWidth="1"/>
    <col min="5" max="5" width="12.33203125" style="14" customWidth="1"/>
    <col min="6" max="6" width="16.19921875" style="15" customWidth="1"/>
    <col min="7" max="7" width="11.46484375" style="15" customWidth="1"/>
    <col min="8" max="8" width="15.53125" style="14" customWidth="1"/>
    <col min="9" max="9" width="17.59765625" style="15" bestFit="1" customWidth="1"/>
    <col min="10" max="10" width="16.33203125" style="14" bestFit="1" customWidth="1"/>
    <col min="11" max="11" width="19.53125" style="14" bestFit="1" customWidth="1"/>
    <col min="13" max="13" width="9.6640625" bestFit="1" customWidth="1"/>
  </cols>
  <sheetData>
    <row r="1" spans="1:13" s="2" customFormat="1" ht="22.45" customHeight="1" x14ac:dyDescent="0.5">
      <c r="A1" s="1" t="s">
        <v>2</v>
      </c>
      <c r="B1" s="1" t="s">
        <v>3</v>
      </c>
      <c r="C1" s="9" t="s">
        <v>42</v>
      </c>
      <c r="D1" s="9" t="s">
        <v>4</v>
      </c>
      <c r="E1" s="9" t="s">
        <v>37</v>
      </c>
      <c r="F1" s="8" t="s">
        <v>5</v>
      </c>
      <c r="G1" s="8" t="s">
        <v>38</v>
      </c>
      <c r="H1" s="9" t="s">
        <v>6</v>
      </c>
      <c r="I1" s="8" t="s">
        <v>41</v>
      </c>
      <c r="J1" s="9" t="s">
        <v>7</v>
      </c>
      <c r="K1" s="9" t="s">
        <v>8</v>
      </c>
    </row>
    <row r="2" spans="1:13" x14ac:dyDescent="0.45">
      <c r="A2" t="s">
        <v>105</v>
      </c>
      <c r="B2" t="s">
        <v>103</v>
      </c>
      <c r="D2" s="13"/>
      <c r="E2" s="13">
        <f t="shared" ref="E2:E26" si="0">D2-H2</f>
        <v>0</v>
      </c>
      <c r="F2" s="10">
        <f>'January 2026'!G24</f>
        <v>0</v>
      </c>
      <c r="G2" s="6"/>
      <c r="H2" s="12">
        <f>'January 2026'!H24 + 'January 2026'!K24</f>
        <v>0</v>
      </c>
      <c r="I2" s="11">
        <f t="shared" ref="I2:I26" si="1">IF(D2=0, 0, H2/D2)</f>
        <v>0</v>
      </c>
      <c r="J2" s="13">
        <f>40*4*2*39</f>
        <v>12480</v>
      </c>
      <c r="K2" s="7">
        <v>13476.06</v>
      </c>
    </row>
    <row r="3" spans="1:13" x14ac:dyDescent="0.45">
      <c r="A3" t="s">
        <v>94</v>
      </c>
      <c r="B3" t="s">
        <v>95</v>
      </c>
      <c r="D3" s="13">
        <v>34950</v>
      </c>
      <c r="E3" s="13">
        <f t="shared" si="0"/>
        <v>34950</v>
      </c>
      <c r="F3" s="10">
        <f>'January 2026'!G2</f>
        <v>0</v>
      </c>
      <c r="G3" s="6">
        <v>0.2</v>
      </c>
      <c r="H3" s="12">
        <f>'January 2026'!H2 + 'January 2026'!K2</f>
        <v>0</v>
      </c>
      <c r="I3" s="11">
        <f t="shared" si="1"/>
        <v>0</v>
      </c>
      <c r="J3" s="13">
        <f t="shared" ref="J3:J26" si="2">MAX(D3*G3-H3,0)</f>
        <v>6990</v>
      </c>
      <c r="K3" s="7">
        <v>6990</v>
      </c>
    </row>
    <row r="4" spans="1:13" x14ac:dyDescent="0.45">
      <c r="A4" t="s">
        <v>9</v>
      </c>
      <c r="B4" t="s">
        <v>10</v>
      </c>
      <c r="C4" t="s">
        <v>43</v>
      </c>
      <c r="D4" s="13">
        <v>120239</v>
      </c>
      <c r="E4" s="13">
        <f t="shared" si="0"/>
        <v>10839.580000000002</v>
      </c>
      <c r="F4" s="10">
        <f>'January 2026'!G4</f>
        <v>0.88</v>
      </c>
      <c r="G4" s="6"/>
      <c r="H4" s="12">
        <f>'January 2026'!H4 + 'January 2026'!K4</f>
        <v>109399.42</v>
      </c>
      <c r="I4" s="11">
        <f t="shared" si="1"/>
        <v>0.90984971598233522</v>
      </c>
      <c r="J4" s="13">
        <f t="shared" si="2"/>
        <v>0</v>
      </c>
      <c r="K4" s="7"/>
    </row>
    <row r="5" spans="1:13" x14ac:dyDescent="0.45">
      <c r="A5" t="s">
        <v>9</v>
      </c>
      <c r="B5" t="s">
        <v>12</v>
      </c>
      <c r="C5" t="s">
        <v>44</v>
      </c>
      <c r="D5" s="13">
        <v>135357</v>
      </c>
      <c r="E5" s="13">
        <f t="shared" si="0"/>
        <v>79220.89</v>
      </c>
      <c r="F5" s="10">
        <f>'January 2026'!G5</f>
        <v>0.4</v>
      </c>
      <c r="G5" s="6">
        <v>0.5</v>
      </c>
      <c r="H5" s="12">
        <f>'January 2026'!H5 + 'January 2026'!K5</f>
        <v>56136.11</v>
      </c>
      <c r="I5" s="11">
        <f t="shared" si="1"/>
        <v>0.4147263163338431</v>
      </c>
      <c r="J5" s="13">
        <f t="shared" si="2"/>
        <v>11542.39</v>
      </c>
      <c r="K5" s="7">
        <v>11542.29</v>
      </c>
    </row>
    <row r="6" spans="1:13" x14ac:dyDescent="0.45">
      <c r="A6" t="s">
        <v>9</v>
      </c>
      <c r="B6" t="s">
        <v>93</v>
      </c>
      <c r="D6" s="13">
        <v>69646</v>
      </c>
      <c r="E6" s="13">
        <f t="shared" si="0"/>
        <v>62681.4</v>
      </c>
      <c r="F6" s="10">
        <f>'January 2026'!G6</f>
        <v>0.1</v>
      </c>
      <c r="G6" s="6"/>
      <c r="H6" s="12">
        <f>'January 2026'!H6 + 'January 2026'!K6</f>
        <v>6964.6</v>
      </c>
      <c r="I6" s="11">
        <f t="shared" si="1"/>
        <v>0.1</v>
      </c>
      <c r="J6" s="13">
        <f t="shared" si="2"/>
        <v>0</v>
      </c>
      <c r="K6" s="7"/>
    </row>
    <row r="7" spans="1:13" x14ac:dyDescent="0.45">
      <c r="A7" t="s">
        <v>9</v>
      </c>
      <c r="B7" t="s">
        <v>96</v>
      </c>
      <c r="C7" t="s">
        <v>44</v>
      </c>
      <c r="D7" s="13">
        <v>14879</v>
      </c>
      <c r="E7" s="13">
        <f t="shared" si="0"/>
        <v>14879</v>
      </c>
      <c r="F7" s="10">
        <f>'January 2026'!G8</f>
        <v>0</v>
      </c>
      <c r="G7" s="6"/>
      <c r="H7" s="12">
        <f>'January 2026'!H8 + 'January 2026'!K8</f>
        <v>0</v>
      </c>
      <c r="I7" s="11">
        <f t="shared" si="1"/>
        <v>0</v>
      </c>
      <c r="J7" s="13">
        <f t="shared" si="2"/>
        <v>0</v>
      </c>
      <c r="K7" s="7"/>
      <c r="M7" s="14"/>
    </row>
    <row r="8" spans="1:13" x14ac:dyDescent="0.45">
      <c r="A8" t="s">
        <v>9</v>
      </c>
      <c r="B8" t="s">
        <v>13</v>
      </c>
      <c r="C8" t="s">
        <v>44</v>
      </c>
      <c r="D8" s="13">
        <v>63798</v>
      </c>
      <c r="E8" s="13">
        <f t="shared" si="0"/>
        <v>19139.400000000001</v>
      </c>
      <c r="F8" s="10">
        <f>'January 2026'!G12</f>
        <v>0.7</v>
      </c>
      <c r="G8" s="6"/>
      <c r="H8" s="12">
        <f>'January 2026'!H12 + 'January 2026'!K12</f>
        <v>44658.6</v>
      </c>
      <c r="I8" s="11">
        <f t="shared" si="1"/>
        <v>0.7</v>
      </c>
      <c r="J8" s="13">
        <f t="shared" si="2"/>
        <v>0</v>
      </c>
      <c r="K8" s="7"/>
    </row>
    <row r="9" spans="1:13" x14ac:dyDescent="0.45">
      <c r="A9" t="s">
        <v>9</v>
      </c>
      <c r="B9" t="s">
        <v>97</v>
      </c>
      <c r="C9" t="s">
        <v>44</v>
      </c>
      <c r="D9" s="13">
        <v>144635</v>
      </c>
      <c r="E9" s="13">
        <f t="shared" si="0"/>
        <v>137403.25</v>
      </c>
      <c r="F9" s="10">
        <f>'January 2026'!G13</f>
        <v>0.05</v>
      </c>
      <c r="G9" s="6"/>
      <c r="H9" s="12">
        <f>'January 2026'!H13 + 'January 2026'!K13</f>
        <v>7231.75</v>
      </c>
      <c r="I9" s="11">
        <f t="shared" si="1"/>
        <v>0.05</v>
      </c>
      <c r="J9" s="13">
        <f t="shared" si="2"/>
        <v>0</v>
      </c>
      <c r="K9" s="7"/>
    </row>
    <row r="10" spans="1:13" x14ac:dyDescent="0.45">
      <c r="A10" t="s">
        <v>9</v>
      </c>
      <c r="B10" t="s">
        <v>17</v>
      </c>
      <c r="C10" t="s">
        <v>44</v>
      </c>
      <c r="D10" s="13">
        <v>23014</v>
      </c>
      <c r="E10" s="13">
        <f t="shared" si="0"/>
        <v>1717.5999999999985</v>
      </c>
      <c r="F10" s="10">
        <f>'January 2026'!G15</f>
        <v>0.85</v>
      </c>
      <c r="G10" s="6"/>
      <c r="H10" s="12">
        <f>'January 2026'!H15 + 'January 2026'!K15</f>
        <v>21296.400000000001</v>
      </c>
      <c r="I10" s="11">
        <f t="shared" si="1"/>
        <v>0.92536716781089778</v>
      </c>
      <c r="J10" s="13">
        <f t="shared" si="2"/>
        <v>0</v>
      </c>
      <c r="K10" s="7"/>
    </row>
    <row r="11" spans="1:13" x14ac:dyDescent="0.45">
      <c r="A11" t="s">
        <v>9</v>
      </c>
      <c r="B11" t="s">
        <v>91</v>
      </c>
      <c r="D11" s="13">
        <f>587450</f>
        <v>587450</v>
      </c>
      <c r="E11" s="13">
        <f t="shared" si="0"/>
        <v>512802.32</v>
      </c>
      <c r="F11" s="10">
        <f>'January 2026'!G16</f>
        <v>0.09</v>
      </c>
      <c r="G11" s="6">
        <v>0.12</v>
      </c>
      <c r="H11" s="12">
        <f>'January 2026'!H16 + 'January 2026'!K16</f>
        <v>74647.679999999993</v>
      </c>
      <c r="I11" s="11">
        <f t="shared" si="1"/>
        <v>0.12707069537833005</v>
      </c>
      <c r="J11" s="13">
        <f t="shared" si="2"/>
        <v>0</v>
      </c>
      <c r="K11" s="7"/>
    </row>
    <row r="12" spans="1:13" x14ac:dyDescent="0.45">
      <c r="A12" t="s">
        <v>9</v>
      </c>
      <c r="B12" t="s">
        <v>104</v>
      </c>
      <c r="D12" s="13">
        <v>55000</v>
      </c>
      <c r="E12" s="13">
        <f t="shared" si="0"/>
        <v>55000</v>
      </c>
      <c r="F12" s="10">
        <f>'January 2026'!G17</f>
        <v>0.1</v>
      </c>
      <c r="G12" s="6">
        <v>0.75</v>
      </c>
      <c r="H12" s="12">
        <v>0</v>
      </c>
      <c r="I12" s="11">
        <f t="shared" si="1"/>
        <v>0</v>
      </c>
      <c r="J12" s="13">
        <f t="shared" si="2"/>
        <v>41250</v>
      </c>
      <c r="K12" s="7">
        <v>41250</v>
      </c>
    </row>
    <row r="13" spans="1:13" x14ac:dyDescent="0.45">
      <c r="A13" t="s">
        <v>9</v>
      </c>
      <c r="B13" t="s">
        <v>19</v>
      </c>
      <c r="C13" t="s">
        <v>44</v>
      </c>
      <c r="D13" s="13">
        <v>17231</v>
      </c>
      <c r="E13" s="13">
        <f t="shared" si="0"/>
        <v>17231</v>
      </c>
      <c r="F13" s="10">
        <f>'January 2026'!G19</f>
        <v>0</v>
      </c>
      <c r="G13" s="6"/>
      <c r="H13" s="12">
        <f>'January 2026'!H19 + 'January 2026'!K19</f>
        <v>0</v>
      </c>
      <c r="I13" s="11">
        <f t="shared" si="1"/>
        <v>0</v>
      </c>
      <c r="J13" s="13">
        <f t="shared" si="2"/>
        <v>0</v>
      </c>
      <c r="K13" s="21"/>
    </row>
    <row r="14" spans="1:13" x14ac:dyDescent="0.45">
      <c r="A14" t="s">
        <v>9</v>
      </c>
      <c r="B14" t="s">
        <v>20</v>
      </c>
      <c r="C14" t="s">
        <v>43</v>
      </c>
      <c r="D14" s="13">
        <v>338832</v>
      </c>
      <c r="E14" s="13">
        <f t="shared" si="0"/>
        <v>-6659.140000000014</v>
      </c>
      <c r="F14" s="10">
        <f>'January 2026'!G22</f>
        <v>1</v>
      </c>
      <c r="G14" s="6"/>
      <c r="H14" s="12">
        <f>'January 2026'!H22 + 'January 2026'!K22</f>
        <v>345491.14</v>
      </c>
      <c r="I14" s="11">
        <f t="shared" si="1"/>
        <v>1.0196532204750437</v>
      </c>
      <c r="J14" s="13">
        <f t="shared" si="2"/>
        <v>0</v>
      </c>
      <c r="K14" s="7"/>
    </row>
    <row r="15" spans="1:13" x14ac:dyDescent="0.45">
      <c r="A15" t="s">
        <v>21</v>
      </c>
      <c r="B15" t="s">
        <v>99</v>
      </c>
      <c r="D15" s="13">
        <v>75003</v>
      </c>
      <c r="E15" s="13">
        <f t="shared" si="0"/>
        <v>41252.130000000005</v>
      </c>
      <c r="F15" s="10">
        <f>'January 2026'!G21</f>
        <v>0.28999999999999998</v>
      </c>
      <c r="G15" s="6">
        <v>0.6</v>
      </c>
      <c r="H15" s="12">
        <f>'January 2026'!H21 + 'January 2026'!K21</f>
        <v>33750.869999999995</v>
      </c>
      <c r="I15" s="11">
        <f t="shared" si="1"/>
        <v>0.44999360025598972</v>
      </c>
      <c r="J15" s="13">
        <f t="shared" si="2"/>
        <v>11250.93</v>
      </c>
      <c r="K15" s="7">
        <v>11250.93</v>
      </c>
    </row>
    <row r="16" spans="1:13" x14ac:dyDescent="0.45">
      <c r="A16" t="s">
        <v>100</v>
      </c>
      <c r="B16" t="s">
        <v>101</v>
      </c>
      <c r="D16" s="13">
        <v>49080</v>
      </c>
      <c r="E16" s="13">
        <f t="shared" si="0"/>
        <v>49080</v>
      </c>
      <c r="F16" s="10">
        <f>'January 2026'!G25</f>
        <v>0</v>
      </c>
      <c r="G16" s="6">
        <v>0.25</v>
      </c>
      <c r="H16" s="12">
        <f>'January 2026'!H25 + 'January 2026'!K25</f>
        <v>0</v>
      </c>
      <c r="I16" s="11">
        <f t="shared" si="1"/>
        <v>0</v>
      </c>
      <c r="J16" s="13">
        <f t="shared" si="2"/>
        <v>12270</v>
      </c>
      <c r="K16" s="7">
        <v>12270</v>
      </c>
    </row>
    <row r="17" spans="1:13" x14ac:dyDescent="0.45">
      <c r="A17" t="s">
        <v>89</v>
      </c>
      <c r="B17" t="s">
        <v>90</v>
      </c>
      <c r="D17" s="13">
        <v>382198</v>
      </c>
      <c r="E17" s="13">
        <f t="shared" si="0"/>
        <v>371066</v>
      </c>
      <c r="F17" s="10">
        <f>'January 2026'!G14</f>
        <v>0</v>
      </c>
      <c r="G17" s="6"/>
      <c r="H17" s="12">
        <f>'January 2026'!H14 + 'January 2026'!K14</f>
        <v>11132</v>
      </c>
      <c r="I17" s="11">
        <f t="shared" si="1"/>
        <v>2.9126264396987948E-2</v>
      </c>
      <c r="J17" s="13">
        <f t="shared" si="2"/>
        <v>0</v>
      </c>
      <c r="K17" s="7"/>
    </row>
    <row r="18" spans="1:13" x14ac:dyDescent="0.45">
      <c r="A18" t="s">
        <v>22</v>
      </c>
      <c r="B18" t="s">
        <v>24</v>
      </c>
      <c r="C18" t="s">
        <v>49</v>
      </c>
      <c r="D18" s="13">
        <v>42247</v>
      </c>
      <c r="E18" s="13">
        <f t="shared" si="0"/>
        <v>35910</v>
      </c>
      <c r="F18" s="10">
        <f>'January 2026'!G17</f>
        <v>0.1</v>
      </c>
      <c r="G18" s="6">
        <v>0.38754586124458523</v>
      </c>
      <c r="H18" s="12">
        <f>'January 2026'!H17 + 'January 2026'!K17</f>
        <v>6337</v>
      </c>
      <c r="I18" s="11">
        <f t="shared" si="1"/>
        <v>0.1499988164840107</v>
      </c>
      <c r="J18" s="13">
        <f t="shared" si="2"/>
        <v>10035.649999999992</v>
      </c>
      <c r="K18" s="7">
        <v>10035</v>
      </c>
    </row>
    <row r="19" spans="1:13" x14ac:dyDescent="0.45">
      <c r="A19" t="s">
        <v>25</v>
      </c>
      <c r="B19" t="s">
        <v>26</v>
      </c>
      <c r="C19" t="s">
        <v>51</v>
      </c>
      <c r="D19" s="13">
        <v>307512</v>
      </c>
      <c r="E19" s="13">
        <f t="shared" si="0"/>
        <v>166056.48000000001</v>
      </c>
      <c r="F19" s="10">
        <f>'January 2026'!G3</f>
        <v>0.46</v>
      </c>
      <c r="G19" s="6">
        <v>0.56999999999999995</v>
      </c>
      <c r="H19" s="12">
        <f>'January 2026'!H3 + 'January 2026'!K3</f>
        <v>141455.51999999999</v>
      </c>
      <c r="I19" s="11">
        <f t="shared" si="1"/>
        <v>0.45999999999999996</v>
      </c>
      <c r="J19" s="13">
        <f t="shared" si="2"/>
        <v>33826.320000000007</v>
      </c>
      <c r="K19" s="7">
        <v>33826.32</v>
      </c>
    </row>
    <row r="20" spans="1:13" x14ac:dyDescent="0.45">
      <c r="A20" t="s">
        <v>25</v>
      </c>
      <c r="B20" t="s">
        <v>27</v>
      </c>
      <c r="C20" t="s">
        <v>53</v>
      </c>
      <c r="D20" s="13">
        <v>78723</v>
      </c>
      <c r="E20" s="13">
        <f t="shared" si="0"/>
        <v>62978.400000000001</v>
      </c>
      <c r="F20" s="10">
        <f>'January 2026'!G7</f>
        <v>0.19</v>
      </c>
      <c r="G20" s="6">
        <v>0.21916085515033726</v>
      </c>
      <c r="H20" s="12">
        <f>'January 2026'!H7 + 'January 2026'!K7</f>
        <v>15744.6</v>
      </c>
      <c r="I20" s="11">
        <f t="shared" si="1"/>
        <v>0.2</v>
      </c>
      <c r="J20" s="13">
        <f t="shared" si="2"/>
        <v>1508.3999999999996</v>
      </c>
      <c r="K20" s="7">
        <v>12595.68</v>
      </c>
    </row>
    <row r="21" spans="1:13" x14ac:dyDescent="0.45">
      <c r="A21" t="s">
        <v>25</v>
      </c>
      <c r="B21" t="s">
        <v>29</v>
      </c>
      <c r="C21" t="s">
        <v>51</v>
      </c>
      <c r="D21" s="13">
        <v>71206</v>
      </c>
      <c r="E21" s="13">
        <f t="shared" si="0"/>
        <v>18513.559999999998</v>
      </c>
      <c r="F21" s="10">
        <f>'January 2026'!G11</f>
        <v>0.74</v>
      </c>
      <c r="G21" s="6">
        <v>0.81</v>
      </c>
      <c r="H21" s="12">
        <f>'January 2026'!H11 + 'January 2026'!K11</f>
        <v>52692.44</v>
      </c>
      <c r="I21" s="11">
        <f t="shared" si="1"/>
        <v>0.74</v>
      </c>
      <c r="J21" s="13">
        <f t="shared" si="2"/>
        <v>4984.4199999999983</v>
      </c>
      <c r="K21" s="7">
        <v>4984.42</v>
      </c>
      <c r="M21" s="14"/>
    </row>
    <row r="22" spans="1:13" x14ac:dyDescent="0.45">
      <c r="A22" t="s">
        <v>25</v>
      </c>
      <c r="B22" t="s">
        <v>98</v>
      </c>
      <c r="C22" t="s">
        <v>51</v>
      </c>
      <c r="D22" s="13">
        <v>33151</v>
      </c>
      <c r="E22" s="13">
        <f t="shared" si="0"/>
        <v>28178.35</v>
      </c>
      <c r="F22" s="10">
        <f>'January 2026'!G18</f>
        <v>0</v>
      </c>
      <c r="G22" s="6">
        <v>0.2</v>
      </c>
      <c r="H22" s="12">
        <f>'January 2026'!H18 + 'January 2026'!K18</f>
        <v>4972.6499999999996</v>
      </c>
      <c r="I22" s="11">
        <f t="shared" si="1"/>
        <v>0.15</v>
      </c>
      <c r="J22" s="13">
        <f t="shared" si="2"/>
        <v>1657.5500000000011</v>
      </c>
      <c r="K22" s="7">
        <v>1657.55</v>
      </c>
    </row>
    <row r="23" spans="1:13" x14ac:dyDescent="0.45">
      <c r="A23" t="s">
        <v>25</v>
      </c>
      <c r="B23" t="s">
        <v>32</v>
      </c>
      <c r="C23" t="s">
        <v>52</v>
      </c>
      <c r="D23" s="13">
        <v>45334</v>
      </c>
      <c r="E23" s="13">
        <f t="shared" si="0"/>
        <v>45334</v>
      </c>
      <c r="F23" s="10">
        <f>'January 2026'!G20</f>
        <v>0</v>
      </c>
      <c r="G23" s="6"/>
      <c r="H23" s="12">
        <f>'January 2026'!H20 + 'January 2026'!K20</f>
        <v>0</v>
      </c>
      <c r="I23" s="11">
        <f t="shared" si="1"/>
        <v>0</v>
      </c>
      <c r="J23" s="13">
        <f t="shared" si="2"/>
        <v>0</v>
      </c>
      <c r="K23" s="7"/>
    </row>
    <row r="24" spans="1:13" x14ac:dyDescent="0.45">
      <c r="A24" t="s">
        <v>25</v>
      </c>
      <c r="B24" t="s">
        <v>34</v>
      </c>
      <c r="C24" t="s">
        <v>51</v>
      </c>
      <c r="D24" s="13">
        <v>70963</v>
      </c>
      <c r="E24" s="13">
        <f t="shared" si="0"/>
        <v>48964.47</v>
      </c>
      <c r="F24" s="10">
        <f>'January 2026'!G23</f>
        <v>0.31</v>
      </c>
      <c r="G24" s="6">
        <v>0.84</v>
      </c>
      <c r="H24" s="12">
        <f>'January 2026'!H23 + 'January 2026'!K23</f>
        <v>21998.53</v>
      </c>
      <c r="I24" s="11">
        <f t="shared" si="1"/>
        <v>0.31</v>
      </c>
      <c r="J24" s="13">
        <f t="shared" si="2"/>
        <v>37610.39</v>
      </c>
      <c r="K24" s="7">
        <v>37610.39</v>
      </c>
    </row>
    <row r="25" spans="1:13" x14ac:dyDescent="0.45">
      <c r="A25" t="s">
        <v>87</v>
      </c>
      <c r="B25" t="s">
        <v>88</v>
      </c>
      <c r="D25" s="13">
        <v>1596000</v>
      </c>
      <c r="E25" s="13">
        <f t="shared" si="0"/>
        <v>1386148</v>
      </c>
      <c r="F25" s="10">
        <f>'January 2026'!G9</f>
        <v>0</v>
      </c>
      <c r="G25" s="6">
        <v>0.17173182957393485</v>
      </c>
      <c r="H25" s="12">
        <f>'January 2026'!H9 + 'January 2026'!K9</f>
        <v>209852</v>
      </c>
      <c r="I25" s="11">
        <f t="shared" si="1"/>
        <v>0.13148621553884712</v>
      </c>
      <c r="J25" s="13">
        <f t="shared" si="2"/>
        <v>64232</v>
      </c>
      <c r="K25" s="7">
        <v>64231</v>
      </c>
    </row>
    <row r="26" spans="1:13" x14ac:dyDescent="0.45">
      <c r="A26" t="s">
        <v>36</v>
      </c>
      <c r="B26" t="s">
        <v>86</v>
      </c>
      <c r="C26" t="s">
        <v>56</v>
      </c>
      <c r="D26" s="13">
        <v>43773</v>
      </c>
      <c r="E26" s="13">
        <f t="shared" si="0"/>
        <v>2188.6499999999942</v>
      </c>
      <c r="F26" s="10">
        <f>'January 2026'!G10</f>
        <v>0.94</v>
      </c>
      <c r="G26" s="6">
        <v>0.96</v>
      </c>
      <c r="H26" s="12">
        <f>'January 2026'!H10 + 'January 2026'!K10</f>
        <v>41584.350000000006</v>
      </c>
      <c r="I26" s="11">
        <f t="shared" si="1"/>
        <v>0.95000000000000018</v>
      </c>
      <c r="J26" s="13">
        <f t="shared" si="2"/>
        <v>437.72999999999593</v>
      </c>
      <c r="K26" s="7">
        <v>875.46</v>
      </c>
    </row>
    <row r="27" spans="1:13" x14ac:dyDescent="0.45">
      <c r="J27" s="14">
        <f>SUM(J1:J26)</f>
        <v>250075.77999999997</v>
      </c>
      <c r="K27" s="14">
        <f>SUM(K2:K26)</f>
        <v>262595.10000000003</v>
      </c>
    </row>
    <row r="32" spans="1:13" x14ac:dyDescent="0.45">
      <c r="G32" s="20"/>
      <c r="H32" s="20"/>
    </row>
  </sheetData>
  <sheetProtection sheet="1" formatCells="0" selectLockedCells="1" selectUnlockedCells="1"/>
  <sortState xmlns:xlrd2="http://schemas.microsoft.com/office/spreadsheetml/2017/richdata2" ref="A2:K26">
    <sortCondition ref="A2:A26"/>
    <sortCondition ref="B2:B26"/>
  </sortState>
  <conditionalFormatting sqref="A1:K1">
    <cfRule type="expression" dxfId="14" priority="2">
      <formula>AND(MOD(ROW(),2)=0, COUNTA($A1:$W1)&gt;0)</formula>
    </cfRule>
  </conditionalFormatting>
  <conditionalFormatting sqref="A1048545:K1048576">
    <cfRule type="expression" dxfId="13" priority="3">
      <formula>AND(MOD(ROW(),2)=0, COUNTA($A1048545:$AB1048546)&gt;0)</formula>
    </cfRule>
  </conditionalFormatting>
  <conditionalFormatting sqref="A28:K29 A31:K78 A30:I30 A27:I27 K27 K30">
    <cfRule type="expression" dxfId="12" priority="1">
      <formula>$G27=1</formula>
    </cfRule>
  </conditionalFormatting>
  <conditionalFormatting sqref="A2:K26">
    <cfRule type="expression" dxfId="11" priority="7">
      <formula>$G2=1</formula>
    </cfRule>
    <cfRule type="expression" dxfId="10" priority="10">
      <formula>ISEVEN(ROW())</formula>
    </cfRule>
  </conditionalFormatting>
  <conditionalFormatting sqref="G2:G26">
    <cfRule type="expression" dxfId="9" priority="8" stopIfTrue="1">
      <formula>NOT(ISBLANK($B2))</formula>
    </cfRule>
    <cfRule type="expression" dxfId="8" priority="11">
      <formula>$G2&lt;$I2</formula>
    </cfRule>
    <cfRule type="expression" dxfId="7" priority="12" stopIfTrue="1">
      <formula>NOT(ISBLANK($B2))</formula>
    </cfRule>
  </conditionalFormatting>
  <conditionalFormatting sqref="K2:K26">
    <cfRule type="expression" dxfId="6" priority="9" stopIfTrue="1">
      <formula>NOT(ISBLANK($B2))</formula>
    </cfRule>
    <cfRule type="expression" dxfId="5" priority="13" stopIfTrue="1">
      <formula>NOT(ISBLANK($B2))</formula>
    </cfRule>
  </conditionalFormatting>
  <conditionalFormatting sqref="A27:B1048544 K27 D28:K28 D30:I30 D27:I27 D31:K32 D29:J29 K29:K30">
    <cfRule type="expression" dxfId="4" priority="63">
      <formula>AND(MOD(ROW(),2)=0, COUNTA($A25:$W25)&gt;0)</formula>
    </cfRule>
  </conditionalFormatting>
  <conditionalFormatting sqref="H27:I78">
    <cfRule type="expression" dxfId="3" priority="65">
      <formula>H27&lt;G27</formula>
    </cfRule>
    <cfRule type="expression" dxfId="2" priority="66">
      <formula>COUNTA($A25:$W25)&gt;0</formula>
    </cfRule>
  </conditionalFormatting>
  <conditionalFormatting sqref="J27">
    <cfRule type="expression" dxfId="1" priority="68">
      <formula>$G30=1</formula>
    </cfRule>
  </conditionalFormatting>
  <conditionalFormatting sqref="J27">
    <cfRule type="expression" dxfId="0" priority="75">
      <formula>AND(MOD(ROW(),2)=0, COUNTA($A28:$W28)&gt;0)</formula>
    </cfRule>
  </conditionalFormatting>
  <dataValidations count="1">
    <dataValidation type="decimal" allowBlank="1" showInputMessage="1" showErrorMessage="1" error="&quot;Value must be between 0% and 100%&quot;" sqref="H27:H69 I2:I69" xr:uid="{61D4D4D6-0844-4D05-A23D-2C1FDEFD93F8}">
      <formula1>0</formula1>
      <formula2>1</formula2>
    </dataValidation>
  </dataValidations>
  <printOptions horizontalCentered="1" verticalCentered="1"/>
  <pageMargins left="0.25" right="0.25" top="0.25" bottom="0.2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E834-153F-47DD-9D79-D1983E5357C3}">
  <sheetPr codeName="Sheet12">
    <pageSetUpPr fitToPage="1"/>
  </sheetPr>
  <dimension ref="A1:M2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5" sqref="M15"/>
    </sheetView>
  </sheetViews>
  <sheetFormatPr defaultColWidth="9.19921875" defaultRowHeight="14.25" x14ac:dyDescent="0.45"/>
  <cols>
    <col min="1" max="1" width="22.86328125" bestFit="1" customWidth="1"/>
    <col min="2" max="2" width="27" bestFit="1" customWidth="1"/>
    <col min="3" max="3" width="32.33203125" customWidth="1"/>
    <col min="4" max="4" width="16.9296875" style="14" hidden="1" customWidth="1"/>
    <col min="5" max="5" width="12.33203125" style="14" hidden="1" customWidth="1"/>
    <col min="6" max="6" width="16.19921875" style="15" hidden="1" customWidth="1"/>
    <col min="7" max="7" width="11.46484375" style="15" customWidth="1"/>
    <col min="8" max="8" width="15.53125" style="14" hidden="1" customWidth="1"/>
    <col min="9" max="9" width="17.59765625" style="15" customWidth="1"/>
    <col min="10" max="10" width="16.33203125" style="14" bestFit="1" customWidth="1"/>
    <col min="11" max="11" width="19.53125" style="14" bestFit="1" customWidth="1"/>
    <col min="12" max="12" width="29.9296875" bestFit="1" customWidth="1"/>
    <col min="13" max="13" width="9.6640625" bestFit="1" customWidth="1"/>
  </cols>
  <sheetData>
    <row r="1" spans="1:13" s="2" customFormat="1" ht="22.45" customHeight="1" x14ac:dyDescent="0.5">
      <c r="A1" s="1" t="s">
        <v>2</v>
      </c>
      <c r="B1" s="1" t="s">
        <v>3</v>
      </c>
      <c r="C1" s="9" t="s">
        <v>42</v>
      </c>
      <c r="D1" s="9" t="s">
        <v>4</v>
      </c>
      <c r="E1" s="9" t="s">
        <v>37</v>
      </c>
      <c r="F1" s="8" t="s">
        <v>5</v>
      </c>
      <c r="G1" s="8" t="s">
        <v>38</v>
      </c>
      <c r="H1" s="9" t="s">
        <v>6</v>
      </c>
      <c r="I1" s="8" t="s">
        <v>41</v>
      </c>
      <c r="J1" s="9" t="s">
        <v>7</v>
      </c>
      <c r="K1" s="9" t="s">
        <v>8</v>
      </c>
    </row>
    <row r="2" spans="1:13" x14ac:dyDescent="0.45">
      <c r="A2" t="s">
        <v>105</v>
      </c>
      <c r="B2" t="s">
        <v>103</v>
      </c>
      <c r="D2" s="13">
        <f>13572+13476.06</f>
        <v>27048.059999999998</v>
      </c>
      <c r="E2" s="13">
        <v>0</v>
      </c>
      <c r="F2" s="10">
        <f>'February 2026'!G2</f>
        <v>0</v>
      </c>
      <c r="G2" s="11">
        <v>1</v>
      </c>
      <c r="H2" s="12">
        <f>'February 2026'!H2 + 'February 2026'!K2</f>
        <v>13476.06</v>
      </c>
      <c r="I2" s="11">
        <f t="shared" ref="I2:I25" si="0">IF(D2=0, 0, H2/D2)</f>
        <v>0.4982264901808115</v>
      </c>
      <c r="J2" s="13">
        <f t="shared" ref="J2:J25" si="1">MAX(D2*G2-H2,0)</f>
        <v>13571.999999999998</v>
      </c>
      <c r="K2" s="7">
        <v>15951.78</v>
      </c>
      <c r="L2" s="22" t="s">
        <v>111</v>
      </c>
    </row>
    <row r="3" spans="1:13" x14ac:dyDescent="0.45">
      <c r="A3" t="s">
        <v>94</v>
      </c>
      <c r="B3" t="s">
        <v>95</v>
      </c>
      <c r="D3" s="13">
        <v>34950</v>
      </c>
      <c r="E3" s="13">
        <f t="shared" ref="E3:E25" si="2">D3-H3</f>
        <v>27960</v>
      </c>
      <c r="F3" s="10">
        <f>'February 2026'!G3</f>
        <v>0.2</v>
      </c>
      <c r="G3" s="11">
        <v>0.12</v>
      </c>
      <c r="H3" s="12">
        <f>'February 2026'!H3 + 'February 2026'!K3</f>
        <v>6990</v>
      </c>
      <c r="I3" s="11">
        <f t="shared" si="0"/>
        <v>0.2</v>
      </c>
      <c r="J3" s="13">
        <f t="shared" si="1"/>
        <v>0</v>
      </c>
      <c r="K3" s="7"/>
      <c r="L3" s="22"/>
    </row>
    <row r="4" spans="1:13" x14ac:dyDescent="0.45">
      <c r="A4" t="s">
        <v>9</v>
      </c>
      <c r="B4" t="s">
        <v>10</v>
      </c>
      <c r="C4" t="s">
        <v>43</v>
      </c>
      <c r="D4" s="13">
        <v>120239</v>
      </c>
      <c r="E4" s="13">
        <f t="shared" si="2"/>
        <v>10839.580000000002</v>
      </c>
      <c r="F4" s="10">
        <f>'February 2026'!G4</f>
        <v>0</v>
      </c>
      <c r="G4" s="11">
        <v>0.88</v>
      </c>
      <c r="H4" s="12">
        <f>'February 2026'!H4 + 'February 2026'!K4</f>
        <v>109399.42</v>
      </c>
      <c r="I4" s="11">
        <f t="shared" si="0"/>
        <v>0.90984971598233522</v>
      </c>
      <c r="J4" s="13">
        <f t="shared" si="1"/>
        <v>0</v>
      </c>
      <c r="K4" s="7"/>
      <c r="L4" s="22"/>
    </row>
    <row r="5" spans="1:13" x14ac:dyDescent="0.45">
      <c r="A5" t="s">
        <v>9</v>
      </c>
      <c r="B5" t="s">
        <v>12</v>
      </c>
      <c r="C5" t="s">
        <v>44</v>
      </c>
      <c r="D5" s="13">
        <v>135357</v>
      </c>
      <c r="E5" s="13">
        <f t="shared" si="2"/>
        <v>67678.600000000006</v>
      </c>
      <c r="F5" s="10">
        <f>'February 2026'!G5</f>
        <v>0.5</v>
      </c>
      <c r="G5" s="11">
        <v>0.66</v>
      </c>
      <c r="H5" s="12">
        <f>'February 2026'!H5 + 'February 2026'!K5</f>
        <v>67678.399999999994</v>
      </c>
      <c r="I5" s="11">
        <f t="shared" si="0"/>
        <v>0.49999926121294053</v>
      </c>
      <c r="J5" s="13">
        <f t="shared" si="1"/>
        <v>21657.220000000016</v>
      </c>
      <c r="K5" s="7">
        <v>21657.22</v>
      </c>
      <c r="L5" s="22"/>
    </row>
    <row r="6" spans="1:13" x14ac:dyDescent="0.45">
      <c r="A6" t="s">
        <v>9</v>
      </c>
      <c r="B6" t="s">
        <v>93</v>
      </c>
      <c r="D6" s="13">
        <v>69646</v>
      </c>
      <c r="E6" s="13">
        <f t="shared" si="2"/>
        <v>62681.4</v>
      </c>
      <c r="F6" s="10">
        <f>'February 2026'!G6</f>
        <v>0</v>
      </c>
      <c r="G6" s="11">
        <v>0.1</v>
      </c>
      <c r="H6" s="12">
        <f>'February 2026'!H6 + 'February 2026'!K6</f>
        <v>6964.6</v>
      </c>
      <c r="I6" s="11">
        <f t="shared" si="0"/>
        <v>0.1</v>
      </c>
      <c r="J6" s="13">
        <f t="shared" si="1"/>
        <v>0</v>
      </c>
      <c r="K6" s="7"/>
      <c r="L6" s="22"/>
    </row>
    <row r="7" spans="1:13" x14ac:dyDescent="0.45">
      <c r="A7" t="s">
        <v>9</v>
      </c>
      <c r="B7" t="s">
        <v>96</v>
      </c>
      <c r="C7" t="s">
        <v>44</v>
      </c>
      <c r="D7" s="13">
        <v>14879</v>
      </c>
      <c r="E7" s="13">
        <f t="shared" si="2"/>
        <v>14879</v>
      </c>
      <c r="F7" s="10">
        <f>'February 2026'!G7</f>
        <v>0</v>
      </c>
      <c r="G7" s="11">
        <v>0</v>
      </c>
      <c r="H7" s="12">
        <f>'February 2026'!H7 + 'February 2026'!K7</f>
        <v>0</v>
      </c>
      <c r="I7" s="11">
        <f t="shared" si="0"/>
        <v>0</v>
      </c>
      <c r="J7" s="13">
        <f t="shared" si="1"/>
        <v>0</v>
      </c>
      <c r="K7" s="7"/>
      <c r="L7" s="22"/>
      <c r="M7" s="14"/>
    </row>
    <row r="8" spans="1:13" x14ac:dyDescent="0.45">
      <c r="A8" t="s">
        <v>9</v>
      </c>
      <c r="B8" t="s">
        <v>13</v>
      </c>
      <c r="C8" t="s">
        <v>44</v>
      </c>
      <c r="D8" s="13">
        <v>63798</v>
      </c>
      <c r="E8" s="13">
        <f t="shared" si="2"/>
        <v>19139.400000000001</v>
      </c>
      <c r="F8" s="10">
        <f>'February 2026'!G8</f>
        <v>0</v>
      </c>
      <c r="G8" s="11">
        <v>0.7</v>
      </c>
      <c r="H8" s="12">
        <f>'February 2026'!H8 + 'February 2026'!K8</f>
        <v>44658.6</v>
      </c>
      <c r="I8" s="11">
        <f t="shared" si="0"/>
        <v>0.7</v>
      </c>
      <c r="J8" s="13">
        <f t="shared" si="1"/>
        <v>0</v>
      </c>
      <c r="K8" s="7"/>
      <c r="L8" s="22"/>
    </row>
    <row r="9" spans="1:13" x14ac:dyDescent="0.45">
      <c r="A9" t="s">
        <v>9</v>
      </c>
      <c r="B9" t="s">
        <v>97</v>
      </c>
      <c r="C9" t="s">
        <v>44</v>
      </c>
      <c r="D9" s="13">
        <v>144635</v>
      </c>
      <c r="E9" s="13">
        <f t="shared" si="2"/>
        <v>137403.25</v>
      </c>
      <c r="F9" s="10">
        <f>'February 2026'!G9</f>
        <v>0</v>
      </c>
      <c r="G9" s="11">
        <v>0.05</v>
      </c>
      <c r="H9" s="12">
        <f>'February 2026'!H9 + 'February 2026'!K9</f>
        <v>7231.75</v>
      </c>
      <c r="I9" s="11">
        <f t="shared" si="0"/>
        <v>0.05</v>
      </c>
      <c r="J9" s="13">
        <f t="shared" si="1"/>
        <v>0</v>
      </c>
      <c r="K9" s="7"/>
      <c r="L9" s="22"/>
    </row>
    <row r="10" spans="1:13" x14ac:dyDescent="0.45">
      <c r="A10" t="s">
        <v>9</v>
      </c>
      <c r="B10" t="s">
        <v>17</v>
      </c>
      <c r="C10" t="s">
        <v>44</v>
      </c>
      <c r="D10" s="13">
        <v>23014</v>
      </c>
      <c r="E10" s="13">
        <f t="shared" si="2"/>
        <v>1717.5999999999985</v>
      </c>
      <c r="F10" s="10">
        <f>'February 2026'!G10</f>
        <v>0</v>
      </c>
      <c r="G10" s="11">
        <v>1</v>
      </c>
      <c r="H10" s="12">
        <f>'February 2026'!H10 + 'February 2026'!K10</f>
        <v>21296.400000000001</v>
      </c>
      <c r="I10" s="11">
        <f t="shared" si="0"/>
        <v>0.92536716781089778</v>
      </c>
      <c r="J10" s="13">
        <f t="shared" si="1"/>
        <v>1717.5999999999985</v>
      </c>
      <c r="K10" s="7">
        <v>1717.6</v>
      </c>
      <c r="L10" s="22"/>
    </row>
    <row r="11" spans="1:13" x14ac:dyDescent="0.45">
      <c r="A11" t="s">
        <v>9</v>
      </c>
      <c r="B11" t="s">
        <v>91</v>
      </c>
      <c r="D11" s="13">
        <f>587450+55000</f>
        <v>642450</v>
      </c>
      <c r="E11" s="13">
        <f t="shared" si="2"/>
        <v>567802.32000000007</v>
      </c>
      <c r="F11" s="10">
        <f>'February 2026'!G11</f>
        <v>0.12</v>
      </c>
      <c r="G11" s="11">
        <v>0.16</v>
      </c>
      <c r="H11" s="12">
        <f>'February 2026'!H11 + 'February 2026'!K11</f>
        <v>74647.679999999993</v>
      </c>
      <c r="I11" s="11">
        <f t="shared" si="0"/>
        <v>0.1161922017277609</v>
      </c>
      <c r="J11" s="13">
        <f t="shared" si="1"/>
        <v>28144.320000000007</v>
      </c>
      <c r="K11" s="7">
        <v>28144.32</v>
      </c>
      <c r="L11" s="22"/>
    </row>
    <row r="12" spans="1:13" x14ac:dyDescent="0.45">
      <c r="A12" t="s">
        <v>9</v>
      </c>
      <c r="B12" t="s">
        <v>19</v>
      </c>
      <c r="C12" t="s">
        <v>44</v>
      </c>
      <c r="D12" s="13">
        <v>17231</v>
      </c>
      <c r="E12" s="13">
        <f t="shared" si="2"/>
        <v>17231</v>
      </c>
      <c r="F12" s="10">
        <f>'February 2026'!G13</f>
        <v>0</v>
      </c>
      <c r="G12" s="11">
        <v>0.15</v>
      </c>
      <c r="H12" s="12">
        <f>'February 2026'!H13 + 'February 2026'!K13</f>
        <v>0</v>
      </c>
      <c r="I12" s="11">
        <f t="shared" si="0"/>
        <v>0</v>
      </c>
      <c r="J12" s="13">
        <f t="shared" si="1"/>
        <v>2584.65</v>
      </c>
      <c r="K12" s="21">
        <v>2584.65</v>
      </c>
      <c r="L12" s="22"/>
    </row>
    <row r="13" spans="1:13" x14ac:dyDescent="0.45">
      <c r="A13" t="s">
        <v>9</v>
      </c>
      <c r="B13" t="s">
        <v>20</v>
      </c>
      <c r="C13" t="s">
        <v>43</v>
      </c>
      <c r="D13" s="13">
        <v>338832</v>
      </c>
      <c r="E13" s="13">
        <f t="shared" si="2"/>
        <v>-6659.140000000014</v>
      </c>
      <c r="F13" s="10">
        <f>'February 2026'!G14</f>
        <v>0</v>
      </c>
      <c r="G13" s="11">
        <v>1</v>
      </c>
      <c r="H13" s="12">
        <f>'February 2026'!H14 + 'February 2026'!K14</f>
        <v>345491.14</v>
      </c>
      <c r="I13" s="11">
        <f t="shared" si="0"/>
        <v>1.0196532204750437</v>
      </c>
      <c r="J13" s="13">
        <f t="shared" si="1"/>
        <v>0</v>
      </c>
      <c r="K13" s="7"/>
      <c r="L13" s="22"/>
    </row>
    <row r="14" spans="1:13" x14ac:dyDescent="0.45">
      <c r="A14" t="s">
        <v>21</v>
      </c>
      <c r="B14" t="s">
        <v>99</v>
      </c>
      <c r="D14" s="13">
        <v>75003</v>
      </c>
      <c r="E14" s="13">
        <f t="shared" si="2"/>
        <v>30001.200000000004</v>
      </c>
      <c r="F14" s="10">
        <f>'February 2026'!G15</f>
        <v>0.6</v>
      </c>
      <c r="G14" s="11">
        <v>0.83999040038398487</v>
      </c>
      <c r="H14" s="12">
        <f>'February 2026'!H15 + 'February 2026'!K15</f>
        <v>45001.799999999996</v>
      </c>
      <c r="I14" s="11">
        <f t="shared" si="0"/>
        <v>0.6</v>
      </c>
      <c r="J14" s="13">
        <f t="shared" si="1"/>
        <v>18000.000000000022</v>
      </c>
      <c r="K14" s="7">
        <v>18000</v>
      </c>
      <c r="L14" s="22" t="s">
        <v>106</v>
      </c>
    </row>
    <row r="15" spans="1:13" x14ac:dyDescent="0.45">
      <c r="A15" t="s">
        <v>100</v>
      </c>
      <c r="B15" t="s">
        <v>101</v>
      </c>
      <c r="D15" s="13">
        <v>49080</v>
      </c>
      <c r="E15" s="13">
        <f t="shared" si="2"/>
        <v>36810</v>
      </c>
      <c r="F15" s="10">
        <f>'February 2026'!G16</f>
        <v>0.25</v>
      </c>
      <c r="G15" s="11">
        <v>0.6</v>
      </c>
      <c r="H15" s="12">
        <f>'February 2026'!H16 + 'February 2026'!K16</f>
        <v>12270</v>
      </c>
      <c r="I15" s="11">
        <f t="shared" si="0"/>
        <v>0.25</v>
      </c>
      <c r="J15" s="13">
        <f t="shared" si="1"/>
        <v>17178</v>
      </c>
      <c r="K15" s="7">
        <v>17178</v>
      </c>
      <c r="L15" s="22" t="s">
        <v>112</v>
      </c>
    </row>
    <row r="16" spans="1:13" x14ac:dyDescent="0.45">
      <c r="A16" t="s">
        <v>89</v>
      </c>
      <c r="B16" t="s">
        <v>90</v>
      </c>
      <c r="D16" s="13">
        <v>382198</v>
      </c>
      <c r="E16" s="13">
        <f t="shared" si="2"/>
        <v>371066</v>
      </c>
      <c r="F16" s="10">
        <f>'February 2026'!G17</f>
        <v>0</v>
      </c>
      <c r="G16" s="11">
        <v>0</v>
      </c>
      <c r="H16" s="12">
        <f>'February 2026'!H17 + 'February 2026'!K17</f>
        <v>11132</v>
      </c>
      <c r="I16" s="11">
        <f t="shared" si="0"/>
        <v>2.9126264396987948E-2</v>
      </c>
      <c r="J16" s="13">
        <f t="shared" si="1"/>
        <v>0</v>
      </c>
      <c r="K16" s="7"/>
      <c r="L16" s="22"/>
    </row>
    <row r="17" spans="1:13" x14ac:dyDescent="0.45">
      <c r="A17" t="s">
        <v>22</v>
      </c>
      <c r="B17" t="s">
        <v>24</v>
      </c>
      <c r="C17" t="s">
        <v>49</v>
      </c>
      <c r="D17" s="13">
        <v>42247</v>
      </c>
      <c r="E17" s="13">
        <f t="shared" si="2"/>
        <v>25875</v>
      </c>
      <c r="F17" s="10">
        <f>'February 2026'!G18</f>
        <v>0.38754586124458523</v>
      </c>
      <c r="G17" s="11">
        <v>0.38750000000000001</v>
      </c>
      <c r="H17" s="12">
        <f>'February 2026'!H18 + 'February 2026'!K18</f>
        <v>16372</v>
      </c>
      <c r="I17" s="11">
        <f t="shared" si="0"/>
        <v>0.38753047553672448</v>
      </c>
      <c r="J17" s="13">
        <f t="shared" si="1"/>
        <v>0</v>
      </c>
      <c r="K17" s="7"/>
      <c r="L17" s="22" t="s">
        <v>108</v>
      </c>
    </row>
    <row r="18" spans="1:13" x14ac:dyDescent="0.45">
      <c r="A18" t="s">
        <v>25</v>
      </c>
      <c r="B18" t="s">
        <v>26</v>
      </c>
      <c r="C18" t="s">
        <v>51</v>
      </c>
      <c r="D18" s="13">
        <v>307512</v>
      </c>
      <c r="E18" s="13">
        <f t="shared" si="2"/>
        <v>132230.16</v>
      </c>
      <c r="F18" s="10">
        <f>'February 2026'!G19</f>
        <v>0.56999999999999995</v>
      </c>
      <c r="G18" s="11">
        <v>0.63</v>
      </c>
      <c r="H18" s="12">
        <f>'February 2026'!H19 + 'February 2026'!K19</f>
        <v>175281.84</v>
      </c>
      <c r="I18" s="11">
        <f t="shared" si="0"/>
        <v>0.56999999999999995</v>
      </c>
      <c r="J18" s="13">
        <f t="shared" si="1"/>
        <v>18450.72</v>
      </c>
      <c r="K18" s="7">
        <v>18450.72</v>
      </c>
      <c r="L18" s="22"/>
    </row>
    <row r="19" spans="1:13" x14ac:dyDescent="0.45">
      <c r="A19" t="s">
        <v>25</v>
      </c>
      <c r="B19" t="s">
        <v>27</v>
      </c>
      <c r="C19" t="s">
        <v>53</v>
      </c>
      <c r="D19" s="13">
        <v>78723</v>
      </c>
      <c r="E19" s="13">
        <f t="shared" si="2"/>
        <v>50382.720000000001</v>
      </c>
      <c r="F19" s="10">
        <f>'February 2026'!G20</f>
        <v>0.21916085515033726</v>
      </c>
      <c r="G19" s="11">
        <v>0</v>
      </c>
      <c r="H19" s="12">
        <f>'February 2026'!H20 + 'February 2026'!K20</f>
        <v>28340.28</v>
      </c>
      <c r="I19" s="11">
        <f t="shared" si="0"/>
        <v>0.36</v>
      </c>
      <c r="J19" s="13">
        <f t="shared" si="1"/>
        <v>0</v>
      </c>
      <c r="K19" s="7"/>
      <c r="L19" s="22" t="s">
        <v>109</v>
      </c>
    </row>
    <row r="20" spans="1:13" x14ac:dyDescent="0.45">
      <c r="A20" t="s">
        <v>25</v>
      </c>
      <c r="B20" t="s">
        <v>29</v>
      </c>
      <c r="C20" t="s">
        <v>51</v>
      </c>
      <c r="D20" s="13">
        <v>71206</v>
      </c>
      <c r="E20" s="13">
        <f t="shared" si="2"/>
        <v>13529.14</v>
      </c>
      <c r="F20" s="10">
        <f>'February 2026'!G21</f>
        <v>0.81</v>
      </c>
      <c r="G20" s="11">
        <v>0.9</v>
      </c>
      <c r="H20" s="12">
        <f>'February 2026'!H21 + 'February 2026'!K21</f>
        <v>57676.86</v>
      </c>
      <c r="I20" s="11">
        <f t="shared" si="0"/>
        <v>0.81</v>
      </c>
      <c r="J20" s="13">
        <f t="shared" si="1"/>
        <v>6408.5400000000009</v>
      </c>
      <c r="K20" s="7">
        <v>6408.54</v>
      </c>
      <c r="L20" s="22"/>
      <c r="M20" s="14"/>
    </row>
    <row r="21" spans="1:13" x14ac:dyDescent="0.45">
      <c r="A21" t="s">
        <v>25</v>
      </c>
      <c r="B21" t="s">
        <v>98</v>
      </c>
      <c r="C21" t="s">
        <v>51</v>
      </c>
      <c r="D21" s="13">
        <v>33151</v>
      </c>
      <c r="E21" s="13">
        <f t="shared" si="2"/>
        <v>26520.799999999999</v>
      </c>
      <c r="F21" s="10">
        <f>'February 2026'!G22</f>
        <v>0.2</v>
      </c>
      <c r="G21" s="11">
        <v>0.45</v>
      </c>
      <c r="H21" s="12">
        <f>'February 2026'!H22 + 'February 2026'!K22</f>
        <v>6630.2</v>
      </c>
      <c r="I21" s="11">
        <f t="shared" si="0"/>
        <v>0.19999999999999998</v>
      </c>
      <c r="J21" s="13">
        <f t="shared" si="1"/>
        <v>8287.75</v>
      </c>
      <c r="K21" s="7">
        <v>8287.75</v>
      </c>
      <c r="L21" s="22"/>
    </row>
    <row r="22" spans="1:13" x14ac:dyDescent="0.45">
      <c r="A22" t="s">
        <v>25</v>
      </c>
      <c r="B22" t="s">
        <v>32</v>
      </c>
      <c r="C22" t="s">
        <v>52</v>
      </c>
      <c r="D22" s="13">
        <v>45334</v>
      </c>
      <c r="E22" s="13">
        <f t="shared" si="2"/>
        <v>45334</v>
      </c>
      <c r="F22" s="10">
        <f>'February 2026'!G23</f>
        <v>0</v>
      </c>
      <c r="G22" s="11">
        <v>0</v>
      </c>
      <c r="H22" s="12">
        <f>'February 2026'!H23 + 'February 2026'!K23</f>
        <v>0</v>
      </c>
      <c r="I22" s="11">
        <f t="shared" si="0"/>
        <v>0</v>
      </c>
      <c r="J22" s="13">
        <f t="shared" si="1"/>
        <v>0</v>
      </c>
      <c r="K22" s="7"/>
      <c r="L22" s="22"/>
    </row>
    <row r="23" spans="1:13" x14ac:dyDescent="0.45">
      <c r="A23" t="s">
        <v>25</v>
      </c>
      <c r="B23" t="s">
        <v>34</v>
      </c>
      <c r="C23" t="s">
        <v>51</v>
      </c>
      <c r="D23" s="13">
        <v>70963</v>
      </c>
      <c r="E23" s="13">
        <f t="shared" si="2"/>
        <v>11354.080000000002</v>
      </c>
      <c r="F23" s="10">
        <f>'February 2026'!G24</f>
        <v>0.84</v>
      </c>
      <c r="G23" s="11">
        <v>0.98</v>
      </c>
      <c r="H23" s="12">
        <f>'February 2026'!H24 + 'February 2026'!K24</f>
        <v>59608.92</v>
      </c>
      <c r="I23" s="11">
        <f t="shared" si="0"/>
        <v>0.84</v>
      </c>
      <c r="J23" s="13">
        <f t="shared" si="1"/>
        <v>9934.820000000007</v>
      </c>
      <c r="K23" s="7">
        <v>9934.82</v>
      </c>
      <c r="L23" s="22"/>
    </row>
    <row r="24" spans="1:13" x14ac:dyDescent="0.45">
      <c r="A24" t="s">
        <v>87</v>
      </c>
      <c r="B24" t="s">
        <v>88</v>
      </c>
      <c r="D24" s="13">
        <v>1596000</v>
      </c>
      <c r="E24" s="13">
        <f t="shared" si="2"/>
        <v>1321917</v>
      </c>
      <c r="F24" s="10">
        <f>'February 2026'!G25</f>
        <v>0.17173182957393485</v>
      </c>
      <c r="G24" s="11">
        <v>0.22140350877192982</v>
      </c>
      <c r="H24" s="12">
        <f>'February 2026'!H25 + 'February 2026'!K25</f>
        <v>274083</v>
      </c>
      <c r="I24" s="11">
        <f t="shared" si="0"/>
        <v>0.17173120300751879</v>
      </c>
      <c r="J24" s="13">
        <f t="shared" si="1"/>
        <v>79277</v>
      </c>
      <c r="K24" s="7"/>
      <c r="L24" s="22" t="s">
        <v>107</v>
      </c>
    </row>
    <row r="25" spans="1:13" x14ac:dyDescent="0.45">
      <c r="A25" t="s">
        <v>36</v>
      </c>
      <c r="B25" t="s">
        <v>86</v>
      </c>
      <c r="C25" t="s">
        <v>56</v>
      </c>
      <c r="D25" s="13">
        <v>43773</v>
      </c>
      <c r="E25" s="13">
        <f t="shared" si="2"/>
        <v>1313.1899999999951</v>
      </c>
      <c r="F25" s="10">
        <f>'February 2026'!G26</f>
        <v>0.96</v>
      </c>
      <c r="G25" s="11">
        <v>1</v>
      </c>
      <c r="H25" s="12">
        <f>'February 2026'!H26 + 'February 2026'!K26</f>
        <v>42459.810000000005</v>
      </c>
      <c r="I25" s="11">
        <f t="shared" si="0"/>
        <v>0.97000000000000008</v>
      </c>
      <c r="J25" s="13">
        <f t="shared" si="1"/>
        <v>1313.1899999999951</v>
      </c>
      <c r="K25" s="7">
        <v>1313.19</v>
      </c>
      <c r="L25" s="22" t="s">
        <v>110</v>
      </c>
    </row>
    <row r="26" spans="1:13" x14ac:dyDescent="0.45">
      <c r="J26" s="14">
        <f>SUM(J1:J25)</f>
        <v>226525.81000000006</v>
      </c>
      <c r="K26" s="14">
        <f>SUM(K2:K25)</f>
        <v>149628.59</v>
      </c>
    </row>
    <row r="29" spans="1:13" x14ac:dyDescent="0.45">
      <c r="G29" s="23"/>
      <c r="H29" s="24"/>
    </row>
  </sheetData>
  <sheetProtection formatCells="0" selectLockedCells="1"/>
  <sortState xmlns:xlrd2="http://schemas.microsoft.com/office/spreadsheetml/2017/richdata2" ref="A2:L25">
    <sortCondition ref="A2:A25"/>
    <sortCondition ref="B2:B25"/>
  </sortState>
  <conditionalFormatting sqref="A1:K1">
    <cfRule type="expression" dxfId="60" priority="2">
      <formula>AND(MOD(ROW(),2)=0, COUNTA($A1:$W1)&gt;0)</formula>
    </cfRule>
  </conditionalFormatting>
  <conditionalFormatting sqref="A1048542:K1048576">
    <cfRule type="expression" dxfId="59" priority="3">
      <formula>AND(MOD(ROW(),2)=0, COUNTA($A1048542:$AB1048543)&gt;0)</formula>
    </cfRule>
  </conditionalFormatting>
  <conditionalFormatting sqref="A28:K75 A26:I27 K26:K27">
    <cfRule type="expression" dxfId="58" priority="1">
      <formula>$G26=1</formula>
    </cfRule>
  </conditionalFormatting>
  <conditionalFormatting sqref="K26 D26:I26 A26:B26 A29:B1048541 D29:K29">
    <cfRule type="expression" dxfId="57" priority="11">
      <formula>AND(MOD(ROW(),2)=0, COUNTA($A24:$W24)&gt;0)</formula>
    </cfRule>
  </conditionalFormatting>
  <conditionalFormatting sqref="H26:I26 H29:I75">
    <cfRule type="expression" dxfId="56" priority="12">
      <formula>H26&lt;G26</formula>
    </cfRule>
    <cfRule type="expression" dxfId="55" priority="13">
      <formula>COUNTA($A24:$W24)&gt;0</formula>
    </cfRule>
  </conditionalFormatting>
  <conditionalFormatting sqref="J26">
    <cfRule type="expression" dxfId="54" priority="14">
      <formula>$G27=1</formula>
    </cfRule>
  </conditionalFormatting>
  <conditionalFormatting sqref="A2:K25">
    <cfRule type="expression" dxfId="53" priority="16">
      <formula>$G2=1</formula>
    </cfRule>
    <cfRule type="expression" dxfId="52" priority="19">
      <formula>ISEVEN(ROW())</formula>
    </cfRule>
  </conditionalFormatting>
  <conditionalFormatting sqref="G2:G25">
    <cfRule type="expression" dxfId="51" priority="17" stopIfTrue="1">
      <formula>NOT(ISBLANK($B2))</formula>
    </cfRule>
    <cfRule type="expression" dxfId="50" priority="20">
      <formula>$G2&lt;$I2</formula>
    </cfRule>
    <cfRule type="expression" dxfId="49" priority="21" stopIfTrue="1">
      <formula>NOT(ISBLANK($B2))</formula>
    </cfRule>
  </conditionalFormatting>
  <conditionalFormatting sqref="K2:K25">
    <cfRule type="expression" dxfId="48" priority="18" stopIfTrue="1">
      <formula>NOT(ISBLANK($B2))</formula>
    </cfRule>
    <cfRule type="expression" dxfId="47" priority="22" stopIfTrue="1">
      <formula>NOT(ISBLANK($B2))</formula>
    </cfRule>
  </conditionalFormatting>
  <conditionalFormatting sqref="A27:B28 D28:K28 K27 D27:I27 J26">
    <cfRule type="expression" dxfId="46" priority="77">
      <formula>AND(MOD(ROW(),2)=0, COUNTA(#REF!)&gt;0)</formula>
    </cfRule>
  </conditionalFormatting>
  <conditionalFormatting sqref="H27:I28">
    <cfRule type="expression" dxfId="45" priority="85">
      <formula>H27&lt;G27</formula>
    </cfRule>
    <cfRule type="expression" dxfId="44" priority="86">
      <formula>COUNTA(#REF!)&gt;0</formula>
    </cfRule>
  </conditionalFormatting>
  <dataValidations count="1">
    <dataValidation type="decimal" allowBlank="1" showInputMessage="1" showErrorMessage="1" error="&quot;Value must be between 0% and 100%&quot;" sqref="H26 I2:I26 H27:I66" xr:uid="{03B6206B-E76F-4EFD-BC25-7B5EDDBEDDE9}">
      <formula1>0</formula1>
      <formula2>1</formula2>
    </dataValidation>
  </dataValidations>
  <printOptions horizontalCentered="1" verticalCentered="1"/>
  <pageMargins left="0.25" right="0.25" top="0.25" bottom="0.2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PM Directory</vt:lpstr>
      <vt:lpstr>December 2025</vt:lpstr>
      <vt:lpstr>January 2026</vt:lpstr>
      <vt:lpstr>February 2026</vt:lpstr>
      <vt:lpstr>March 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Collins</dc:creator>
  <cp:lastModifiedBy>Timothy Collins</cp:lastModifiedBy>
  <cp:lastPrinted>2026-02-19T22:07:54Z</cp:lastPrinted>
  <dcterms:created xsi:type="dcterms:W3CDTF">2025-06-25T23:51:16Z</dcterms:created>
  <dcterms:modified xsi:type="dcterms:W3CDTF">2026-04-07T18:14:07Z</dcterms:modified>
</cp:coreProperties>
</file>