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TimothyCollins\dev\tcc-projecthub\project updates\"/>
    </mc:Choice>
  </mc:AlternateContent>
  <xr:revisionPtr revIDLastSave="0" documentId="8_{6EEC1CB3-A4D4-4ADA-98DF-0D0E3E0AFE6B}" xr6:coauthVersionLast="47" xr6:coauthVersionMax="47" xr10:uidLastSave="{00000000-0000-0000-0000-000000000000}"/>
  <bookViews>
    <workbookView xWindow="-98" yWindow="-98" windowWidth="24196" windowHeight="14476" xr2:uid="{00000000-000D-0000-FFFF-FFFF00000000}"/>
  </bookViews>
  <sheets>
    <sheet name="Monthly Billing" sheetId="2" r:id="rId1"/>
    <sheet name="POC Calc" sheetId="1" r:id="rId2"/>
    <sheet name="BOM" sheetId="5" r:id="rId3"/>
    <sheet name="3064" sheetId="3" r:id="rId4"/>
    <sheet name="AF3064 Instructions" sheetId="4" state="hidden" r:id="rId5"/>
  </sheets>
  <definedNames>
    <definedName name="_xlnm.Print_Area" localSheetId="3">'3064'!$A$1:$AE$55</definedName>
    <definedName name="_xlnm.Print_Area" localSheetId="4">'AF3064 Instructions'!$A$1:$C$18</definedName>
    <definedName name="_xlnm.Print_Titles" localSheetId="3">'3064'!$16:$17,'3064'!$A:$AE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F17" i="1" s="1"/>
  <c r="E15" i="1"/>
  <c r="F15" i="1" s="1"/>
  <c r="E2" i="2"/>
  <c r="D16" i="2"/>
  <c r="D15" i="2"/>
  <c r="D14" i="2"/>
  <c r="D13" i="2"/>
  <c r="D12" i="2"/>
  <c r="D11" i="2"/>
  <c r="D10" i="2"/>
  <c r="E10" i="2" s="1"/>
  <c r="H10" i="2"/>
  <c r="I10" i="2" s="1"/>
  <c r="H12" i="2"/>
  <c r="L12" i="2" s="1"/>
  <c r="H13" i="2"/>
  <c r="L13" i="2" s="1"/>
  <c r="H14" i="2"/>
  <c r="H15" i="2"/>
  <c r="H16" i="2"/>
  <c r="D17" i="2"/>
  <c r="H17" i="2"/>
  <c r="D18" i="2"/>
  <c r="H18" i="2"/>
  <c r="D19" i="2"/>
  <c r="H19" i="2"/>
  <c r="D20" i="2"/>
  <c r="H20" i="2"/>
  <c r="D21" i="2"/>
  <c r="H21" i="2"/>
  <c r="L21" i="2" s="1"/>
  <c r="D22" i="2"/>
  <c r="H22" i="2"/>
  <c r="D23" i="2"/>
  <c r="H23" i="2"/>
  <c r="D24" i="2"/>
  <c r="H24" i="2"/>
  <c r="D25" i="2"/>
  <c r="H25" i="2"/>
  <c r="D26" i="2"/>
  <c r="H26" i="2"/>
  <c r="D27" i="2"/>
  <c r="H27" i="2"/>
  <c r="L27" i="2" s="1"/>
  <c r="H11" i="2"/>
  <c r="L11" i="2" s="1"/>
  <c r="G10" i="2"/>
  <c r="G11" i="2" s="1"/>
  <c r="G12" i="2" s="1"/>
  <c r="G13" i="2" s="1"/>
  <c r="G14" i="2" s="1"/>
  <c r="G15" i="2" s="1"/>
  <c r="G16" i="2" s="1"/>
  <c r="G17" i="2" s="1"/>
  <c r="G18" i="2" s="1"/>
  <c r="G19" i="2" s="1"/>
  <c r="G20" i="2" s="1"/>
  <c r="G21" i="2" s="1"/>
  <c r="G22" i="2" s="1"/>
  <c r="G23" i="2" s="1"/>
  <c r="G24" i="2" s="1"/>
  <c r="G25" i="2" s="1"/>
  <c r="G26" i="2" s="1"/>
  <c r="G27" i="2" s="1"/>
  <c r="C10" i="2"/>
  <c r="C11" i="2" s="1"/>
  <c r="C12" i="2" s="1"/>
  <c r="C13" i="2" s="1"/>
  <c r="C14" i="2" s="1"/>
  <c r="C15" i="2" s="1"/>
  <c r="C16" i="2" s="1"/>
  <c r="C17" i="2" s="1"/>
  <c r="C18" i="2" s="1"/>
  <c r="C19" i="2" s="1"/>
  <c r="C20" i="2" s="1"/>
  <c r="C21" i="2" s="1"/>
  <c r="C22" i="2" s="1"/>
  <c r="C23" i="2" s="1"/>
  <c r="C24" i="2" s="1"/>
  <c r="C25" i="2" s="1"/>
  <c r="C26" i="2" s="1"/>
  <c r="C27" i="2" s="1"/>
  <c r="E4" i="2"/>
  <c r="K37" i="1"/>
  <c r="K38" i="1"/>
  <c r="K39" i="1"/>
  <c r="K40" i="1"/>
  <c r="K41" i="1"/>
  <c r="K43" i="1"/>
  <c r="K44" i="1"/>
  <c r="J14" i="5"/>
  <c r="E26" i="1"/>
  <c r="F26" i="1" s="1"/>
  <c r="I4" i="5"/>
  <c r="I5" i="5"/>
  <c r="I6" i="5"/>
  <c r="I7" i="5"/>
  <c r="I8" i="5"/>
  <c r="I9" i="5"/>
  <c r="I10" i="5"/>
  <c r="I11" i="5"/>
  <c r="I12" i="5"/>
  <c r="I13" i="5"/>
  <c r="I14" i="5"/>
  <c r="I15" i="5"/>
  <c r="J15" i="5" s="1"/>
  <c r="I16" i="5"/>
  <c r="J16" i="5" s="1"/>
  <c r="I17" i="5"/>
  <c r="J17" i="5" s="1"/>
  <c r="I18" i="5"/>
  <c r="I19" i="5"/>
  <c r="I20" i="5"/>
  <c r="I21" i="5"/>
  <c r="I22" i="5"/>
  <c r="I23" i="5"/>
  <c r="I24" i="5"/>
  <c r="I25" i="5"/>
  <c r="I26" i="5"/>
  <c r="I3" i="5"/>
  <c r="H4" i="5"/>
  <c r="H5" i="5"/>
  <c r="J5" i="5" s="1"/>
  <c r="H6" i="5"/>
  <c r="H7" i="5"/>
  <c r="J7" i="5" s="1"/>
  <c r="H8" i="5"/>
  <c r="J8" i="5" s="1"/>
  <c r="H9" i="5"/>
  <c r="H10" i="5"/>
  <c r="H11" i="5"/>
  <c r="H12" i="5"/>
  <c r="H13" i="5"/>
  <c r="J13" i="5" s="1"/>
  <c r="H14" i="5"/>
  <c r="H15" i="5"/>
  <c r="H16" i="5"/>
  <c r="H17" i="5"/>
  <c r="H18" i="5"/>
  <c r="H19" i="5"/>
  <c r="H20" i="5"/>
  <c r="H21" i="5"/>
  <c r="H22" i="5"/>
  <c r="H23" i="5"/>
  <c r="H24" i="5"/>
  <c r="H25" i="5"/>
  <c r="H26" i="5"/>
  <c r="J26" i="5" s="1"/>
  <c r="H3" i="5"/>
  <c r="E31" i="1"/>
  <c r="N47" i="3"/>
  <c r="O47" i="3" s="1"/>
  <c r="P47" i="3" s="1"/>
  <c r="AE46" i="3"/>
  <c r="AD46" i="3"/>
  <c r="AC46" i="3"/>
  <c r="AB46" i="3"/>
  <c r="AA46" i="3"/>
  <c r="Z46" i="3"/>
  <c r="Y46" i="3"/>
  <c r="X46" i="3"/>
  <c r="W46" i="3"/>
  <c r="V46" i="3"/>
  <c r="U46" i="3"/>
  <c r="T46" i="3"/>
  <c r="S46" i="3"/>
  <c r="R46" i="3"/>
  <c r="Q46" i="3"/>
  <c r="P46" i="3"/>
  <c r="O46" i="3"/>
  <c r="N46" i="3"/>
  <c r="M46" i="3"/>
  <c r="B4" i="2"/>
  <c r="D58" i="1"/>
  <c r="D52" i="1"/>
  <c r="D42" i="1"/>
  <c r="K42" i="1" s="1"/>
  <c r="D36" i="1"/>
  <c r="K36" i="1" s="1"/>
  <c r="F20" i="1"/>
  <c r="F19" i="1"/>
  <c r="F18" i="1"/>
  <c r="F16" i="1"/>
  <c r="F14" i="1"/>
  <c r="F10" i="1"/>
  <c r="F4" i="1"/>
  <c r="J24" i="5" l="1"/>
  <c r="J23" i="5"/>
  <c r="J22" i="5"/>
  <c r="J10" i="5"/>
  <c r="J6" i="5"/>
  <c r="Q47" i="3"/>
  <c r="R47" i="3" s="1"/>
  <c r="S47" i="3" s="1"/>
  <c r="T47" i="3" s="1"/>
  <c r="U47" i="3" s="1"/>
  <c r="V47" i="3" s="1"/>
  <c r="W47" i="3" s="1"/>
  <c r="X47" i="3" s="1"/>
  <c r="Y47" i="3" s="1"/>
  <c r="Z47" i="3" s="1"/>
  <c r="AA47" i="3" s="1"/>
  <c r="AB47" i="3" s="1"/>
  <c r="AC47" i="3" s="1"/>
  <c r="AD47" i="3" s="1"/>
  <c r="AE47" i="3" s="1"/>
  <c r="J12" i="5"/>
  <c r="J11" i="5"/>
  <c r="J9" i="5"/>
  <c r="J4" i="5"/>
  <c r="J25" i="5"/>
  <c r="E11" i="2"/>
  <c r="L19" i="2"/>
  <c r="I11" i="2"/>
  <c r="E12" i="2"/>
  <c r="E13" i="2" s="1"/>
  <c r="E14" i="2" s="1"/>
  <c r="E15" i="2" s="1"/>
  <c r="E16" i="2" s="1"/>
  <c r="E17" i="2" s="1"/>
  <c r="E18" i="2" s="1"/>
  <c r="E19" i="2" s="1"/>
  <c r="E20" i="2" s="1"/>
  <c r="E21" i="2" s="1"/>
  <c r="E22" i="2" s="1"/>
  <c r="E23" i="2" s="1"/>
  <c r="E24" i="2" s="1"/>
  <c r="E25" i="2" s="1"/>
  <c r="E26" i="2" s="1"/>
  <c r="E27" i="2" s="1"/>
  <c r="L22" i="2"/>
  <c r="L15" i="2"/>
  <c r="I12" i="2"/>
  <c r="I13" i="2" s="1"/>
  <c r="I14" i="2" s="1"/>
  <c r="I15" i="2" s="1"/>
  <c r="I16" i="2" s="1"/>
  <c r="I17" i="2" s="1"/>
  <c r="I18" i="2" s="1"/>
  <c r="I19" i="2" s="1"/>
  <c r="I20" i="2" s="1"/>
  <c r="I21" i="2" s="1"/>
  <c r="I22" i="2" s="1"/>
  <c r="I23" i="2" s="1"/>
  <c r="I24" i="2" s="1"/>
  <c r="I25" i="2" s="1"/>
  <c r="I26" i="2" s="1"/>
  <c r="I27" i="2" s="1"/>
  <c r="F28" i="2"/>
  <c r="H28" i="2" s="1"/>
  <c r="L10" i="2"/>
  <c r="M10" i="2" s="1"/>
  <c r="M11" i="2" s="1"/>
  <c r="M12" i="2" s="1"/>
  <c r="M13" i="2" s="1"/>
  <c r="B28" i="2"/>
  <c r="D28" i="2" s="1"/>
  <c r="L26" i="2"/>
  <c r="L25" i="2"/>
  <c r="L24" i="2"/>
  <c r="L23" i="2"/>
  <c r="L20" i="2"/>
  <c r="L18" i="2"/>
  <c r="L17" i="2"/>
  <c r="L16" i="2"/>
  <c r="L14" i="2"/>
  <c r="J21" i="5"/>
  <c r="J20" i="5"/>
  <c r="J19" i="5"/>
  <c r="J18" i="5"/>
  <c r="J3" i="5"/>
  <c r="K45" i="1"/>
  <c r="C3" i="2" s="1"/>
  <c r="D3" i="2" s="1"/>
  <c r="F3" i="2" s="1"/>
  <c r="H3" i="2" s="1"/>
  <c r="F21" i="1"/>
  <c r="F30" i="1" s="1"/>
  <c r="J28" i="5" l="1"/>
  <c r="E28" i="2"/>
  <c r="I28" i="2"/>
  <c r="M14" i="2"/>
  <c r="M15" i="2" s="1"/>
  <c r="M16" i="2" s="1"/>
  <c r="M17" i="2" s="1"/>
  <c r="M18" i="2" s="1"/>
  <c r="M19" i="2" s="1"/>
  <c r="M20" i="2" s="1"/>
  <c r="M21" i="2" s="1"/>
  <c r="M22" i="2" s="1"/>
  <c r="M23" i="2" s="1"/>
  <c r="M24" i="2" s="1"/>
  <c r="M25" i="2" s="1"/>
  <c r="M26" i="2" s="1"/>
  <c r="M27" i="2" s="1"/>
  <c r="G28" i="2"/>
  <c r="C28" i="2"/>
  <c r="L28" i="2"/>
  <c r="D25" i="1" l="1"/>
  <c r="F25" i="1" s="1"/>
  <c r="F27" i="1" s="1"/>
  <c r="F31" i="1" s="1"/>
  <c r="F32" i="1" s="1"/>
  <c r="C2" i="2" s="1"/>
  <c r="D2" i="2" s="1"/>
  <c r="M28" i="2"/>
  <c r="F2" i="2" l="1"/>
  <c r="D4" i="2"/>
  <c r="J27" i="2"/>
  <c r="J11" i="2"/>
  <c r="J12" i="2"/>
  <c r="J14" i="2"/>
  <c r="J16" i="2"/>
  <c r="J18" i="2"/>
  <c r="J20" i="2"/>
  <c r="J21" i="2"/>
  <c r="J23" i="2"/>
  <c r="J10" i="2"/>
  <c r="K10" i="2" s="1"/>
  <c r="J13" i="2"/>
  <c r="J15" i="2"/>
  <c r="J17" i="2"/>
  <c r="J19" i="2"/>
  <c r="J24" i="2"/>
  <c r="J25" i="2"/>
  <c r="J26" i="2"/>
  <c r="J22" i="2"/>
  <c r="J28" i="2"/>
  <c r="H2" i="2" l="1"/>
  <c r="F4" i="2"/>
  <c r="G4" i="2" s="1"/>
  <c r="H4" i="2" s="1"/>
  <c r="K11" i="2"/>
  <c r="K12" i="2" s="1"/>
  <c r="K13" i="2" s="1"/>
  <c r="K14" i="2" s="1"/>
  <c r="K15" i="2" s="1"/>
  <c r="K16" i="2" s="1"/>
  <c r="K17" i="2" s="1"/>
  <c r="K18" i="2" s="1"/>
  <c r="K19" i="2" s="1"/>
  <c r="K20" i="2" s="1"/>
  <c r="K21" i="2" s="1"/>
  <c r="K22" i="2" s="1"/>
  <c r="K23" i="2" s="1"/>
  <c r="K24" i="2" s="1"/>
  <c r="K25" i="2" s="1"/>
  <c r="K26" i="2" s="1"/>
  <c r="K27" i="2" s="1"/>
  <c r="K28" i="2" s="1"/>
</calcChain>
</file>

<file path=xl/sharedStrings.xml><?xml version="1.0" encoding="utf-8"?>
<sst xmlns="http://schemas.openxmlformats.org/spreadsheetml/2006/main" count="320" uniqueCount="264">
  <si>
    <t>CLIN</t>
  </si>
  <si>
    <t xml:space="preserve">EMCS System Upgrade </t>
  </si>
  <si>
    <t>Installation of EMCS System</t>
  </si>
  <si>
    <t>Contract Amt</t>
  </si>
  <si>
    <t>Subcontract</t>
  </si>
  <si>
    <t>AES</t>
  </si>
  <si>
    <t>Gresham Smith</t>
  </si>
  <si>
    <t>Engineering Milestone Tracker (feeds CLIN 0001 %)</t>
  </si>
  <si>
    <t>Weight</t>
  </si>
  <si>
    <t>% Complete</t>
  </si>
  <si>
    <t>Weighted Earned</t>
  </si>
  <si>
    <t>Submittals / Product Data</t>
  </si>
  <si>
    <t>Niagara N4 Station / Supervisor Setup</t>
  </si>
  <si>
    <t>Graphics / UI Pages</t>
  </si>
  <si>
    <t>Controller Database / Point Mapping</t>
  </si>
  <si>
    <t>Sequences / Programming Templates</t>
  </si>
  <si>
    <t>As-Builts / O&amp;M /Password Turnover</t>
  </si>
  <si>
    <t>AX JACE Recovery / Turnover</t>
  </si>
  <si>
    <t>Install Quantity-Based Progress (feeds CLIN 0002 %)</t>
  </si>
  <si>
    <t>Scope</t>
  </si>
  <si>
    <t>Earned</t>
  </si>
  <si>
    <t>AHUs</t>
  </si>
  <si>
    <t>OAUs</t>
  </si>
  <si>
    <t>ERV</t>
  </si>
  <si>
    <t>VAVs</t>
  </si>
  <si>
    <t>JACEs</t>
  </si>
  <si>
    <t>Plant (CHWS, CWS, HWS)</t>
  </si>
  <si>
    <t>SF, EF, TF</t>
  </si>
  <si>
    <t>UH</t>
  </si>
  <si>
    <t>Other (Air Comp, Misc)</t>
  </si>
  <si>
    <t>Procurement / Material Receipt Tracker (feeds CLIN 0001 %)</t>
  </si>
  <si>
    <t>Receipt %</t>
  </si>
  <si>
    <t>Subcontract Cost vs Bill Tracking (AES + Gresham Smith)</t>
  </si>
  <si>
    <t>AES Subcontract Value</t>
  </si>
  <si>
    <t>AES Invoiced to Date (input)</t>
  </si>
  <si>
    <t>AES Paid to Date (input)</t>
  </si>
  <si>
    <t>AES Remaining</t>
  </si>
  <si>
    <t>Item</t>
  </si>
  <si>
    <t>Value</t>
  </si>
  <si>
    <t>GS Subcontract Value</t>
  </si>
  <si>
    <t>GS Invoiced to Date (input)</t>
  </si>
  <si>
    <t>GS Paid to Date (input)</t>
  </si>
  <si>
    <t>GS Remaining</t>
  </si>
  <si>
    <t>Earned Value</t>
  </si>
  <si>
    <t>Previously Billed</t>
  </si>
  <si>
    <t>Invoice</t>
  </si>
  <si>
    <t>Retainage</t>
  </si>
  <si>
    <t>Net Invoice</t>
  </si>
  <si>
    <t>CLIN 0001</t>
  </si>
  <si>
    <t>CLIN 0002</t>
  </si>
  <si>
    <t>Total</t>
  </si>
  <si>
    <t>CONTRACT PROGRESS SCHEDULE</t>
  </si>
  <si>
    <t>Form Approved</t>
  </si>
  <si>
    <t>(See Contractor's Instructions on Reverse)</t>
  </si>
  <si>
    <t>OMB NO. 0704-0188</t>
  </si>
  <si>
    <t>Public reporting burden for this collection of information is estimated to average 15 minutes per response, including the time for reviewing instructions, searching existing data sources, gathering maintaining the data needed, and completing and reviewing the collection of information.  Send comments regarding this burden estimate or any other aspect of this collection of information, including suggestions for reducing this burden to Department of Defense, Washington Headquarters Services, Directorate for information, Operations and Reports, 1215 Jefferson Davis Highway, Suite 1204, Arlington VA 22202-4302, and to the Office of Management and Budget, Paperwork Reduction Project 0704-0188,  Washington DC 20503.  Please DO NOT RETURN your form/questionnaire to either of these addresses.  Send your completed form/questionnaire to:  SAF/AQCP, 1060 Air Force Pentagon, Washington DC 20330-1060.</t>
  </si>
  <si>
    <t xml:space="preserve">1.  CONTRACT NO.                                </t>
  </si>
  <si>
    <t>8.  PROJECT TITLE</t>
  </si>
  <si>
    <t>10.  APPROVAL RECOMMENDED BY:</t>
  </si>
  <si>
    <t>DATE SIGNED</t>
  </si>
  <si>
    <t>INSTALLATIONS ENGINEERS' SIGNATURE</t>
  </si>
  <si>
    <t>2.  STARTING DATE</t>
  </si>
  <si>
    <t>3.  COMPLETION DATE</t>
  </si>
  <si>
    <t>9.  SUBMITTED BY: (Enter Company Name Here)</t>
  </si>
  <si>
    <t>4.  PURCHASE REQUEST NO.</t>
  </si>
  <si>
    <t xml:space="preserve">CONTRACTOR'S NAME (Last, First, Middle Initial) </t>
  </si>
  <si>
    <t>CONTRACTOR'S SIGNATURE</t>
  </si>
  <si>
    <t>11.  APPROVED BY:</t>
  </si>
  <si>
    <t>5.  PROJECT NO.</t>
  </si>
  <si>
    <t>CONTRACTING OFFICER'S SIGNATURE</t>
  </si>
  <si>
    <t>6.  ACTUAL STARTING DATE</t>
  </si>
  <si>
    <t>ADDRESS (Street, City, State, Zip Code)</t>
  </si>
  <si>
    <t>7.  ACTUAL COMPLETION DATE</t>
  </si>
  <si>
    <t>2615 Tambridge Circle Pensacola, Fl 32503</t>
  </si>
  <si>
    <t>Block 12, Schedule Information</t>
  </si>
  <si>
    <t>LINE NO.</t>
  </si>
  <si>
    <t>WORK ELEMENTS</t>
  </si>
  <si>
    <t>%</t>
  </si>
  <si>
    <t>(D) MONTHLY SCHEDULE (to include percentage of work performed for each Line No.)</t>
  </si>
  <si>
    <t>(A)</t>
  </si>
  <si>
    <t>(B)</t>
  </si>
  <si>
    <t xml:space="preserve">(C) </t>
  </si>
  <si>
    <t>Submittals/Engineering</t>
  </si>
  <si>
    <t>Material Procurement</t>
  </si>
  <si>
    <t>COMPLETION OF THE PROJECT</t>
  </si>
  <si>
    <t>AF Form 3064, 20030901   PREVIOUS EDITION IS OBSOLETE</t>
  </si>
  <si>
    <t>AF Form 3064 Instructions</t>
  </si>
  <si>
    <t>Block 1</t>
  </si>
  <si>
    <t>Contract Number</t>
  </si>
  <si>
    <t>Enter contract number AF3064 is being accomplish for</t>
  </si>
  <si>
    <t>Block 2</t>
  </si>
  <si>
    <t>Starting Date</t>
  </si>
  <si>
    <t>Enter anticipated start date</t>
  </si>
  <si>
    <t>Block 3</t>
  </si>
  <si>
    <t>Completion Date</t>
  </si>
  <si>
    <t>Enter anticipated completion date</t>
  </si>
  <si>
    <t>Block 4</t>
  </si>
  <si>
    <t>Purchase Request No.</t>
  </si>
  <si>
    <t>Enter Purchase Requisition No. (normally found within CLIN description of contract)</t>
  </si>
  <si>
    <t>Block 5</t>
  </si>
  <si>
    <t>Project No.</t>
  </si>
  <si>
    <t>Enter Project No. (normally found within CLIN description of contract)</t>
  </si>
  <si>
    <t xml:space="preserve"> </t>
  </si>
  <si>
    <t>Block 6</t>
  </si>
  <si>
    <t>Actual Starting Date</t>
  </si>
  <si>
    <t>Enter Actual Start Date (provided on Notice to Proceed, when issued)</t>
  </si>
  <si>
    <t>Block 7</t>
  </si>
  <si>
    <t>Actual Completion Date</t>
  </si>
  <si>
    <t>Enter Completion Date (provided on Notice to Proceed, when issued)</t>
  </si>
  <si>
    <t>Block 8</t>
  </si>
  <si>
    <t>Project Title</t>
  </si>
  <si>
    <t>Enter Project Title</t>
  </si>
  <si>
    <t>Block 9</t>
  </si>
  <si>
    <t>Submitted By</t>
  </si>
  <si>
    <t>Enter Company Name next to "SUBMITTED BY:"
Enter Contractor POC name under "Contractor's Name" using format provided
Enter Contractor Address under "Address" using format provided
Date Signed (enter date once AF3065 has been reviewed and finalized 
Contractor's Signature (Convert AF3065 to PDF and sign once it has been reviewed/finalized)</t>
  </si>
  <si>
    <t>Block 10</t>
  </si>
  <si>
    <t xml:space="preserve">CES / Vectrus Signature </t>
  </si>
  <si>
    <t>To be completed by CES / Vectrus personnel after Block 9 has been completed</t>
  </si>
  <si>
    <t>Block 11</t>
  </si>
  <si>
    <t>CO Signature</t>
  </si>
  <si>
    <t>To be completed by 81 CONS / CO after Block 10 has been completed</t>
  </si>
  <si>
    <t>Block 12</t>
  </si>
  <si>
    <t>Schedule Information</t>
  </si>
  <si>
    <t>Enter information within the sub-blocks as necessary</t>
  </si>
  <si>
    <t>Block 12A</t>
  </si>
  <si>
    <t>Line No.</t>
  </si>
  <si>
    <t>Numerical numbering used for identification of each work element and completion %</t>
  </si>
  <si>
    <t>Block 12B</t>
  </si>
  <si>
    <t>Work Elements</t>
  </si>
  <si>
    <t>Enter description for each main work element performed under this contract 
       (The descriptions used in this section will also be used on the AF3065)</t>
  </si>
  <si>
    <t>Block 12C</t>
  </si>
  <si>
    <t>Percentage of Total Contract</t>
  </si>
  <si>
    <t xml:space="preserve">Enter percentage of work that each work element identified in Block 12B represents of the total contract
For instance: Line 1 equals 5% of the total contract (normally based on price of work element vs total contract) </t>
  </si>
  <si>
    <t>Block 12D</t>
  </si>
  <si>
    <t>Percentage by Month</t>
  </si>
  <si>
    <t>Enter percentage of work to be accomplished each Month for each work element.
For instance: Line 1 is accomplished the first Month then enter 5% in that week's column
If Line 2 will take multiple months to accomplish then enter the % to be completed each month in the respective month column</t>
  </si>
  <si>
    <t>Completion of the Project</t>
  </si>
  <si>
    <t>Percentages in this row calculate automatically based on information entered in Block 12C and Block 12D</t>
  </si>
  <si>
    <t>Billing % for CLIN 0001</t>
  </si>
  <si>
    <t>Billing % for CLIN 0002</t>
  </si>
  <si>
    <t>Engineering</t>
  </si>
  <si>
    <t>Material</t>
  </si>
  <si>
    <r>
      <rPr>
        <sz val="9"/>
        <rFont val="Calibri"/>
        <family val="2"/>
      </rPr>
      <t>Functional Devices</t>
    </r>
  </si>
  <si>
    <r>
      <rPr>
        <sz val="9"/>
        <rFont val="Calibri"/>
        <family val="2"/>
      </rPr>
      <t>Pilot Relay, 10 Amp DPDT, 24 Vac/dc/ 120 Vac Coil</t>
    </r>
  </si>
  <si>
    <r>
      <rPr>
        <sz val="9"/>
        <rFont val="Calibri"/>
        <family val="2"/>
      </rPr>
      <t>RIB2401D</t>
    </r>
  </si>
  <si>
    <r>
      <rPr>
        <sz val="9"/>
        <rFont val="Calibri"/>
        <family val="2"/>
      </rPr>
      <t>FR-1</t>
    </r>
  </si>
  <si>
    <r>
      <rPr>
        <sz val="9"/>
        <rFont val="Calibri"/>
        <family val="2"/>
      </rPr>
      <t>Field Mounted Relay</t>
    </r>
  </si>
  <si>
    <r>
      <rPr>
        <sz val="9"/>
        <rFont val="Calibri"/>
        <family val="2"/>
      </rPr>
      <t>Pilot Relay, 10 Amp SPDT, 10-30 Vac/dc/ 120 Vac Coil, NEMA 1 Housing</t>
    </r>
  </si>
  <si>
    <r>
      <rPr>
        <sz val="9"/>
        <rFont val="Calibri"/>
        <family val="2"/>
      </rPr>
      <t>RIBU1C</t>
    </r>
  </si>
  <si>
    <r>
      <rPr>
        <sz val="9"/>
        <rFont val="Calibri"/>
        <family val="2"/>
      </rPr>
      <t>FR-#</t>
    </r>
  </si>
  <si>
    <r>
      <rPr>
        <sz val="9"/>
        <rFont val="Calibri"/>
        <family val="2"/>
      </rPr>
      <t>ACI</t>
    </r>
  </si>
  <si>
    <r>
      <rPr>
        <sz val="9"/>
        <rFont val="Calibri"/>
        <family val="2"/>
      </rPr>
      <t>Differential Pressure, (0.5% Acc), 1, 2, 5, 10 inWC (Default), LCD, Unidirectional (Default),  Bidirectional (Selectable)</t>
    </r>
  </si>
  <si>
    <r>
      <rPr>
        <sz val="9"/>
        <rFont val="Calibri"/>
        <family val="2"/>
      </rPr>
      <t>A/DLP-010-W-U-D-A-3</t>
    </r>
  </si>
  <si>
    <r>
      <rPr>
        <sz val="9"/>
        <rFont val="Calibri"/>
        <family val="2"/>
      </rPr>
      <t>FILT-DP</t>
    </r>
  </si>
  <si>
    <r>
      <rPr>
        <sz val="9"/>
        <rFont val="Calibri"/>
        <family val="2"/>
      </rPr>
      <t>Differential Pressure Sensor</t>
    </r>
  </si>
  <si>
    <r>
      <rPr>
        <sz val="9"/>
        <rFont val="Calibri"/>
        <family val="2"/>
      </rPr>
      <t xml:space="preserve">Liquid differential pressure transmitter with LCD, Nema4X, jumper selectable outputs with pressure
</t>
    </r>
    <r>
      <rPr>
        <sz val="9"/>
        <rFont val="Calibri"/>
        <family val="2"/>
      </rPr>
      <t>ranges of 50, 100, 250 and 500PSI ranges, 5' (1.5M) FT6 cable</t>
    </r>
  </si>
  <si>
    <r>
      <rPr>
        <sz val="9"/>
        <rFont val="Calibri"/>
        <family val="2"/>
      </rPr>
      <t>A/WPR2-100-20-LCD</t>
    </r>
  </si>
  <si>
    <r>
      <rPr>
        <sz val="9"/>
        <rFont val="Calibri"/>
        <family val="2"/>
      </rPr>
      <t>DPT-1 THRU DPT-3</t>
    </r>
  </si>
  <si>
    <r>
      <rPr>
        <sz val="9"/>
        <rFont val="Calibri"/>
        <family val="2"/>
      </rPr>
      <t>1,000 Ohm Nickel RTD, Room (R2)</t>
    </r>
  </si>
  <si>
    <r>
      <rPr>
        <sz val="9"/>
        <rFont val="Calibri"/>
        <family val="2"/>
      </rPr>
      <t>A/1K-NI-R2</t>
    </r>
  </si>
  <si>
    <r>
      <rPr>
        <sz val="9"/>
        <rFont val="Calibri"/>
        <family val="2"/>
      </rPr>
      <t>ZN-T</t>
    </r>
  </si>
  <si>
    <r>
      <rPr>
        <sz val="9"/>
        <rFont val="Calibri"/>
        <family val="2"/>
      </rPr>
      <t>Room Temp Sensor</t>
    </r>
  </si>
  <si>
    <r>
      <rPr>
        <sz val="9"/>
        <rFont val="Calibri"/>
        <family val="2"/>
      </rPr>
      <t>Johnson Controls</t>
    </r>
  </si>
  <si>
    <r>
      <rPr>
        <sz val="9"/>
        <rFont val="Calibri"/>
        <family val="2"/>
      </rPr>
      <t>Proportional Electric Spring Return Actuators</t>
    </r>
  </si>
  <si>
    <r>
      <rPr>
        <sz val="9"/>
        <rFont val="Calibri"/>
        <family val="2"/>
      </rPr>
      <t>M9220-GGA-3</t>
    </r>
  </si>
  <si>
    <r>
      <rPr>
        <sz val="9"/>
        <rFont val="Calibri"/>
        <family val="2"/>
      </rPr>
      <t>OAD, EAD</t>
    </r>
  </si>
  <si>
    <r>
      <rPr>
        <sz val="9"/>
        <rFont val="Calibri"/>
        <family val="2"/>
      </rPr>
      <t>Damper Actuator</t>
    </r>
  </si>
  <si>
    <r>
      <rPr>
        <sz val="9"/>
        <rFont val="Calibri"/>
        <family val="2"/>
      </rPr>
      <t>CR-02400-0</t>
    </r>
  </si>
  <si>
    <r>
      <rPr>
        <sz val="9"/>
        <rFont val="Calibri"/>
        <family val="2"/>
      </rPr>
      <t xml:space="preserve">Enclosed Split Core AC Sensor, 1.25–135 A, Adj. switch setpoint,  LED indication
</t>
    </r>
    <r>
      <rPr>
        <sz val="9"/>
        <rFont val="Calibri"/>
        <family val="2"/>
      </rPr>
      <t>24 VAC/VDC Single-Pole, Single-Throw (SPST), N.O. Relay</t>
    </r>
  </si>
  <si>
    <r>
      <rPr>
        <sz val="9"/>
        <rFont val="Calibri"/>
        <family val="2"/>
      </rPr>
      <t>CSD-CA1G1-1</t>
    </r>
  </si>
  <si>
    <r>
      <rPr>
        <sz val="9"/>
        <rFont val="Calibri"/>
        <family val="2"/>
      </rPr>
      <t xml:space="preserve">CS/R-1 THRU
</t>
    </r>
    <r>
      <rPr>
        <sz val="9"/>
        <rFont val="Calibri"/>
        <family val="2"/>
      </rPr>
      <t>CS/R-7</t>
    </r>
  </si>
  <si>
    <r>
      <rPr>
        <sz val="9"/>
        <rFont val="Calibri"/>
        <family val="2"/>
      </rPr>
      <t>Current Switch &amp; Relay Accessories</t>
    </r>
  </si>
  <si>
    <r>
      <rPr>
        <sz val="9"/>
        <rFont val="Calibri"/>
        <family val="2"/>
      </rPr>
      <t>Differential Pressure Transducer, Low Pressure, Unidirectional, 0 IN. TO 5 IN. W.C., 0 VDC TO 5 VDC</t>
    </r>
  </si>
  <si>
    <r>
      <rPr>
        <sz val="9"/>
        <rFont val="Calibri"/>
        <family val="2"/>
      </rPr>
      <t>DP140005U11D</t>
    </r>
  </si>
  <si>
    <r>
      <rPr>
        <sz val="9"/>
        <rFont val="Calibri"/>
        <family val="2"/>
      </rPr>
      <t>DSP</t>
    </r>
  </si>
  <si>
    <r>
      <rPr>
        <sz val="9"/>
        <rFont val="Calibri"/>
        <family val="2"/>
      </rPr>
      <t>Duct Static Pressure</t>
    </r>
  </si>
  <si>
    <r>
      <rPr>
        <sz val="9"/>
        <rFont val="Calibri"/>
        <family val="2"/>
      </rPr>
      <t>NS Series Network Temperature/CO2 Sensor, BACnet MS/TP, LCD Fixed Segment Display, White, JCI Logo</t>
    </r>
  </si>
  <si>
    <r>
      <rPr>
        <sz val="9"/>
        <rFont val="Calibri"/>
        <family val="2"/>
      </rPr>
      <t>NSB8BTC240-0G</t>
    </r>
  </si>
  <si>
    <r>
      <rPr>
        <sz val="9"/>
        <rFont val="Calibri"/>
        <family val="2"/>
      </rPr>
      <t>ZN-T/CO2</t>
    </r>
  </si>
  <si>
    <r>
      <rPr>
        <sz val="9"/>
        <rFont val="Calibri"/>
        <family val="2"/>
      </rPr>
      <t>Zone Temp/CO2 Sensor</t>
    </r>
  </si>
  <si>
    <r>
      <rPr>
        <sz val="9"/>
        <rFont val="Calibri"/>
        <family val="2"/>
      </rPr>
      <t>NS Series Network Temperature Sensor, BACnet MS/TP, LCD Fixed Segment Display, White, JCI Logo</t>
    </r>
  </si>
  <si>
    <r>
      <rPr>
        <sz val="9"/>
        <rFont val="Calibri"/>
        <family val="2"/>
      </rPr>
      <t>NSB8BTN240-0G</t>
    </r>
  </si>
  <si>
    <r>
      <rPr>
        <sz val="9"/>
        <rFont val="Calibri"/>
        <family val="2"/>
      </rPr>
      <t>Zone Temp Sensor</t>
    </r>
  </si>
  <si>
    <r>
      <rPr>
        <sz val="9"/>
        <rFont val="Calibri"/>
        <family val="2"/>
      </rPr>
      <t>Duct Temperature Sensor, 1K Ni RTD, 8.00" Probe, Metal Enclosure</t>
    </r>
  </si>
  <si>
    <r>
      <rPr>
        <sz val="9"/>
        <rFont val="Calibri"/>
        <family val="2"/>
      </rPr>
      <t>TE-6311M-1</t>
    </r>
  </si>
  <si>
    <r>
      <rPr>
        <sz val="9"/>
        <rFont val="Calibri"/>
        <family val="2"/>
      </rPr>
      <t>DAT, MAT, RAT, OAT</t>
    </r>
  </si>
  <si>
    <r>
      <rPr>
        <sz val="9"/>
        <rFont val="Calibri"/>
        <family val="2"/>
      </rPr>
      <t>Duct Temperature Sensor</t>
    </r>
  </si>
  <si>
    <r>
      <rPr>
        <sz val="9"/>
        <rFont val="Calibri"/>
        <family val="2"/>
      </rPr>
      <t>Immersion Temperature Sensor, 1K Ni RTD, Well Insertion 6.00" Probe, Plastic Enclosure</t>
    </r>
  </si>
  <si>
    <r>
      <rPr>
        <sz val="9"/>
        <rFont val="Calibri"/>
        <family val="2"/>
      </rPr>
      <t>TE-631AP-1</t>
    </r>
  </si>
  <si>
    <r>
      <rPr>
        <sz val="9"/>
        <rFont val="Calibri"/>
        <family val="2"/>
      </rPr>
      <t>TS-1, TS-2</t>
    </r>
  </si>
  <si>
    <r>
      <rPr>
        <sz val="9"/>
        <rFont val="Calibri"/>
        <family val="2"/>
      </rPr>
      <t>Immersion Temperature Sensor</t>
    </r>
  </si>
  <si>
    <r>
      <rPr>
        <sz val="9"/>
        <rFont val="Calibri"/>
        <family val="2"/>
      </rPr>
      <t>IO Module, 10-Points, 3 UI, 1 BI, 4 CO, 2 BO, BACnet/MSTP, 24VAC</t>
    </r>
  </si>
  <si>
    <r>
      <rPr>
        <sz val="9"/>
        <rFont val="Calibri"/>
        <family val="2"/>
      </rPr>
      <t>F4-XPM04060-0G</t>
    </r>
  </si>
  <si>
    <r>
      <rPr>
        <sz val="9"/>
        <rFont val="Calibri"/>
        <family val="2"/>
      </rPr>
      <t>IO-1</t>
    </r>
  </si>
  <si>
    <r>
      <rPr>
        <sz val="9"/>
        <rFont val="Calibri"/>
        <family val="2"/>
      </rPr>
      <t>I/O Module</t>
    </r>
  </si>
  <si>
    <r>
      <rPr>
        <sz val="9"/>
        <rFont val="Calibri"/>
        <family val="2"/>
      </rPr>
      <t>IO Module, 18-Points, 7 UI, 2 BI, 4 CO, 2 AO, 3 BO, BACnet/MSTP, 24VAC</t>
    </r>
  </si>
  <si>
    <r>
      <rPr>
        <sz val="9"/>
        <rFont val="Calibri"/>
        <family val="2"/>
      </rPr>
      <t>F4-XPM09090-0G</t>
    </r>
  </si>
  <si>
    <r>
      <rPr>
        <sz val="9"/>
        <rFont val="Calibri"/>
        <family val="2"/>
      </rPr>
      <t>VAV Controller, INT ACT, POS FBK, DPT,  Bacnet/IP, N2, 3UI, 2CO, 3BO, Real time, 24VAC</t>
    </r>
  </si>
  <si>
    <r>
      <rPr>
        <sz val="9"/>
        <rFont val="Calibri"/>
        <family val="2"/>
      </rPr>
      <t>F4-CVE03050-0PG</t>
    </r>
  </si>
  <si>
    <r>
      <rPr>
        <sz val="9"/>
        <rFont val="Calibri"/>
        <family val="2"/>
      </rPr>
      <t>C-1</t>
    </r>
  </si>
  <si>
    <r>
      <rPr>
        <sz val="9"/>
        <rFont val="Calibri"/>
        <family val="2"/>
      </rPr>
      <t>Programable Controller</t>
    </r>
  </si>
  <si>
    <r>
      <rPr>
        <sz val="9"/>
        <rFont val="Calibri"/>
        <family val="2"/>
      </rPr>
      <t>General Purpose, 10-Point, 3 UI, 1 BI, 4 CO, 2 BO, Bacnet/IP, Bacnet/SC, RealTime, 24VAC</t>
    </r>
  </si>
  <si>
    <r>
      <rPr>
        <sz val="9"/>
        <rFont val="Calibri"/>
        <family val="2"/>
      </rPr>
      <t>F4-CGE04060-0G</t>
    </r>
  </si>
  <si>
    <r>
      <rPr>
        <sz val="9"/>
        <rFont val="Calibri"/>
        <family val="2"/>
      </rPr>
      <t>General Purpose, 18-Points, 7 UI, 2 BI, 4 CO, 2 AO, 3 BO, BACnet/IP, BACnet/Sc, Real Time, 24VAC</t>
    </r>
  </si>
  <si>
    <r>
      <rPr>
        <sz val="9"/>
        <rFont val="Calibri"/>
        <family val="2"/>
      </rPr>
      <t>F4-CGE09090-0G</t>
    </r>
  </si>
  <si>
    <r>
      <rPr>
        <sz val="9"/>
        <rFont val="Calibri"/>
        <family val="2"/>
      </rPr>
      <t>Programmable Controller</t>
    </r>
  </si>
  <si>
    <r>
      <rPr>
        <sz val="9"/>
        <rFont val="Calibri"/>
        <family val="2"/>
      </rPr>
      <t>Initial 1 year software maintenance,FX90 with 25-99 field devices</t>
    </r>
  </si>
  <si>
    <r>
      <rPr>
        <sz val="9"/>
        <rFont val="Calibri"/>
        <family val="2"/>
      </rPr>
      <t>FX-SC9D025M1-0</t>
    </r>
  </si>
  <si>
    <r>
      <rPr>
        <sz val="9"/>
        <rFont val="Calibri"/>
        <family val="2"/>
      </rPr>
      <t>SMA</t>
    </r>
  </si>
  <si>
    <r>
      <rPr>
        <sz val="9"/>
        <rFont val="Calibri"/>
        <family val="2"/>
      </rPr>
      <t>Maintenance License</t>
    </r>
  </si>
  <si>
    <r>
      <rPr>
        <sz val="9"/>
        <rFont val="Calibri"/>
        <family val="2"/>
      </rPr>
      <t>Initial 1 year software maintenance, 100-199 field devices, FX90 supervisor controller</t>
    </r>
  </si>
  <si>
    <r>
      <rPr>
        <sz val="9"/>
        <rFont val="Calibri"/>
        <family val="2"/>
      </rPr>
      <t>FX-SC9D100M1-0</t>
    </r>
  </si>
  <si>
    <r>
      <rPr>
        <sz val="9"/>
        <rFont val="Calibri"/>
        <family val="2"/>
      </rPr>
      <t>License enabling an additional 25 field, device,1250 points for one FX80, initial</t>
    </r>
  </si>
  <si>
    <r>
      <rPr>
        <sz val="9"/>
        <rFont val="Calibri"/>
        <family val="2"/>
      </rPr>
      <t>FX-SC8DL25-0</t>
    </r>
  </si>
  <si>
    <r>
      <rPr>
        <sz val="9"/>
        <rFont val="Calibri"/>
        <family val="2"/>
      </rPr>
      <t>-</t>
    </r>
  </si>
  <si>
    <r>
      <rPr>
        <sz val="9"/>
        <rFont val="Calibri"/>
        <family val="2"/>
      </rPr>
      <t>Device</t>
    </r>
  </si>
  <si>
    <r>
      <rPr>
        <sz val="9"/>
        <rFont val="Calibri"/>
        <family val="2"/>
      </rPr>
      <t>Core 25 Field Device license,1200 points for FX90 Supervisor controller</t>
    </r>
  </si>
  <si>
    <r>
      <rPr>
        <sz val="9"/>
        <rFont val="Calibri"/>
        <family val="2"/>
      </rPr>
      <t>FX-SC9CL025-0</t>
    </r>
  </si>
  <si>
    <r>
      <rPr>
        <sz val="9"/>
        <rFont val="Calibri"/>
        <family val="2"/>
      </rPr>
      <t>Core 100 Field Device license, 5000 points for FX90 Supervisor controller</t>
    </r>
  </si>
  <si>
    <r>
      <rPr>
        <sz val="9"/>
        <rFont val="Calibri"/>
        <family val="2"/>
      </rPr>
      <t>FX-SC9CL100-0</t>
    </r>
  </si>
  <si>
    <r>
      <rPr>
        <sz val="9"/>
        <rFont val="Calibri"/>
        <family val="2"/>
      </rPr>
      <t>FX90 Suppervisor Controller, Micro SD Card, 2 RS485, 2 10/100MB Ethernet Ports</t>
    </r>
  </si>
  <si>
    <r>
      <rPr>
        <sz val="9"/>
        <rFont val="Calibri"/>
        <family val="2"/>
      </rPr>
      <t>JCI-FXSC9BASE0</t>
    </r>
  </si>
  <si>
    <r>
      <rPr>
        <sz val="9"/>
        <rFont val="Calibri"/>
        <family val="2"/>
      </rPr>
      <t>JACE-#</t>
    </r>
  </si>
  <si>
    <r>
      <rPr>
        <sz val="9"/>
        <rFont val="Calibri"/>
        <family val="2"/>
      </rPr>
      <t>JACE</t>
    </r>
  </si>
  <si>
    <r>
      <rPr>
        <b/>
        <sz val="9"/>
        <rFont val="Calibri"/>
        <family val="2"/>
      </rPr>
      <t>Manufacturer</t>
    </r>
  </si>
  <si>
    <r>
      <rPr>
        <b/>
        <sz val="9"/>
        <rFont val="Calibri"/>
        <family val="2"/>
      </rPr>
      <t>Description</t>
    </r>
  </si>
  <si>
    <r>
      <rPr>
        <b/>
        <sz val="9"/>
        <rFont val="Calibri"/>
        <family val="2"/>
      </rPr>
      <t>Part no</t>
    </r>
  </si>
  <si>
    <r>
      <rPr>
        <b/>
        <sz val="9"/>
        <rFont val="Calibri"/>
        <family val="2"/>
      </rPr>
      <t>Tag</t>
    </r>
  </si>
  <si>
    <r>
      <rPr>
        <b/>
        <sz val="9"/>
        <rFont val="Calibri"/>
        <family val="2"/>
      </rPr>
      <t>Application</t>
    </r>
  </si>
  <si>
    <r>
      <rPr>
        <b/>
        <sz val="9"/>
        <rFont val="Calibri"/>
        <family val="2"/>
      </rPr>
      <t>Item #</t>
    </r>
  </si>
  <si>
    <r>
      <rPr>
        <b/>
        <sz val="9"/>
        <rFont val="Calibri"/>
        <family val="2"/>
      </rPr>
      <t>MASTER  BILL OF MATERIAL</t>
    </r>
  </si>
  <si>
    <t>Unit Cost / MSRP</t>
  </si>
  <si>
    <t>Extended Cost</t>
  </si>
  <si>
    <t>% Received</t>
  </si>
  <si>
    <t>DDC Hardware</t>
  </si>
  <si>
    <t>Installation Material</t>
  </si>
  <si>
    <t>Goes to POC Calcualtion</t>
  </si>
  <si>
    <t>Earned %</t>
  </si>
  <si>
    <t>Trunk (20%)</t>
  </si>
  <si>
    <t>Controller (20%)</t>
  </si>
  <si>
    <t>Wiring (25%)</t>
  </si>
  <si>
    <t>P2P (25%)</t>
  </si>
  <si>
    <t>Owner (10%)</t>
  </si>
  <si>
    <t>Month</t>
  </si>
  <si>
    <t>Monthly %</t>
  </si>
  <si>
    <t>Cumulative %</t>
  </si>
  <si>
    <t>Monthly $</t>
  </si>
  <si>
    <t>Cumulative $</t>
  </si>
  <si>
    <t>TOTAL</t>
  </si>
  <si>
    <t>Projected Monthly Billings</t>
  </si>
  <si>
    <t>Niagara N4 Supervisor / JACE Setup</t>
  </si>
  <si>
    <t>Network &amp; Installation Materials</t>
  </si>
  <si>
    <t>Field Device Installation</t>
  </si>
  <si>
    <t>Controls Programming &amp; Database</t>
  </si>
  <si>
    <t>Graphics / UI Development</t>
  </si>
  <si>
    <t>Checkout &amp; PreFunctional Testing</t>
  </si>
  <si>
    <t>PVT / Commissioning</t>
  </si>
  <si>
    <t>As-Builts, O&amp;M Turnover</t>
  </si>
  <si>
    <t>FA28235C0048</t>
  </si>
  <si>
    <t>F1T2AZ5097A001</t>
  </si>
  <si>
    <t>EMCS System Upgrade / Installation of EMCS System</t>
  </si>
  <si>
    <t>Collins, Timothy, J.</t>
  </si>
  <si>
    <t>Estimated Quantity</t>
  </si>
  <si>
    <t>Quantity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</si>
</sst>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0.0%"/>
    <numFmt numFmtId="165" formatCode="0000"/>
    <numFmt numFmtId="166" formatCode="_(&quot;$&quot;* #,##0_);_(&quot;$&quot;* \(#,##0\);_(&quot;$&quot;* &quot;-&quot;??_);_(@_)"/>
    <numFmt numFmtId="167" formatCode="_(* #,##0_);_(* \(#,##0\);_(* &quot;-&quot;??_);_(@_)"/>
    <numFmt numFmtId="168" formatCode="0.000%"/>
  </numFmts>
  <fonts count="21" x14ac:knownFonts="1">
    <font>
      <sz val="10"/>
      <name val="Times New Roman"/>
    </font>
    <font>
      <b/>
      <sz val="10"/>
      <name val="Times New Roman"/>
      <family val="1"/>
    </font>
    <font>
      <sz val="10"/>
      <name val="Arial"/>
      <family val="2"/>
    </font>
    <font>
      <sz val="10"/>
      <name val="Times New Roman"/>
      <family val="1"/>
    </font>
    <font>
      <b/>
      <sz val="11"/>
      <name val="Times New Roman"/>
      <family val="1"/>
    </font>
    <font>
      <sz val="11"/>
      <name val="Times New Roman"/>
      <family val="1"/>
    </font>
    <font>
      <sz val="8"/>
      <name val="Times New Roman"/>
      <family val="1"/>
    </font>
    <font>
      <b/>
      <sz val="9"/>
      <name val="Times New Roman"/>
      <family val="1"/>
    </font>
    <font>
      <b/>
      <sz val="8"/>
      <name val="Times New Roman"/>
      <family val="1"/>
    </font>
    <font>
      <b/>
      <sz val="12"/>
      <name val="Times New Roman"/>
      <family val="1"/>
    </font>
    <font>
      <sz val="12"/>
      <name val="Times New Roman"/>
      <family val="1"/>
    </font>
    <font>
      <sz val="10"/>
      <name val="Times New Roman"/>
      <family val="1"/>
    </font>
    <font>
      <sz val="11"/>
      <color rgb="FF3F3F76"/>
      <name val="Calibri"/>
      <family val="2"/>
      <scheme val="minor"/>
    </font>
    <font>
      <b/>
      <u/>
      <sz val="11"/>
      <name val="Times New Roman"/>
      <family val="1"/>
    </font>
    <font>
      <b/>
      <sz val="11"/>
      <color rgb="FF3F3F3F"/>
      <name val="Calibri"/>
      <family val="2"/>
      <scheme val="minor"/>
    </font>
    <font>
      <b/>
      <sz val="11"/>
      <color rgb="FFFA7D00"/>
      <name val="Calibri"/>
      <family val="2"/>
      <scheme val="minor"/>
    </font>
    <font>
      <sz val="10"/>
      <color rgb="FF000000"/>
      <name val="Times New Roman"/>
      <family val="1"/>
    </font>
    <font>
      <sz val="9"/>
      <name val="Calibri"/>
      <family val="2"/>
    </font>
    <font>
      <sz val="9"/>
      <color rgb="FF000000"/>
      <name val="Calibri"/>
      <family val="2"/>
    </font>
    <font>
      <b/>
      <sz val="9"/>
      <name val="Calibri"/>
      <family val="2"/>
    </font>
    <font>
      <sz val="9"/>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theme="0" tint="-4.9989318521683403E-2"/>
        <bgColor indexed="64"/>
      </patternFill>
    </fill>
  </fills>
  <borders count="76">
    <border>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double">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style="thin">
        <color rgb="FF3F3F3F"/>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3F3F3F"/>
      </right>
      <top/>
      <bottom style="medium">
        <color indexed="64"/>
      </bottom>
      <diagonal/>
    </border>
    <border>
      <left style="thin">
        <color rgb="FF3F3F3F"/>
      </left>
      <right style="medium">
        <color indexed="64"/>
      </right>
      <top style="thin">
        <color rgb="FF3F3F3F"/>
      </top>
      <bottom style="medium">
        <color indexed="64"/>
      </bottom>
      <diagonal/>
    </border>
    <border>
      <left style="thin">
        <color rgb="FF7F7F7F"/>
      </left>
      <right style="thin">
        <color indexed="64"/>
      </right>
      <top style="thin">
        <color rgb="FF7F7F7F"/>
      </top>
      <bottom style="thin">
        <color rgb="FF7F7F7F"/>
      </bottom>
      <diagonal/>
    </border>
    <border>
      <left/>
      <right style="thin">
        <color rgb="FF3F3F3F"/>
      </right>
      <top/>
      <bottom style="thin">
        <color indexed="64"/>
      </bottom>
      <diagonal/>
    </border>
    <border>
      <left style="thin">
        <color rgb="FF3F3F3F"/>
      </left>
      <right style="thin">
        <color indexed="64"/>
      </right>
      <top style="thin">
        <color rgb="FF3F3F3F"/>
      </top>
      <bottom style="thin">
        <color indexed="64"/>
      </bottom>
      <diagonal/>
    </border>
  </borders>
  <cellStyleXfs count="11">
    <xf numFmtId="0" fontId="0" fillId="0" borderId="0"/>
    <xf numFmtId="0" fontId="2" fillId="0" borderId="0"/>
    <xf numFmtId="9" fontId="2" fillId="0" borderId="0"/>
    <xf numFmtId="44" fontId="11" fillId="0" borderId="0"/>
    <xf numFmtId="43" fontId="11" fillId="0" borderId="0"/>
    <xf numFmtId="9" fontId="11" fillId="0" borderId="0"/>
    <xf numFmtId="0" fontId="12" fillId="3" borderId="49"/>
    <xf numFmtId="0" fontId="14" fillId="4" borderId="58" applyNumberFormat="0" applyAlignment="0" applyProtection="0"/>
    <xf numFmtId="0" fontId="15" fillId="4" borderId="49" applyNumberFormat="0" applyAlignment="0" applyProtection="0"/>
    <xf numFmtId="0" fontId="11" fillId="5" borderId="59" applyNumberFormat="0" applyFont="0" applyAlignment="0" applyProtection="0"/>
    <xf numFmtId="0" fontId="16" fillId="0" borderId="0"/>
  </cellStyleXfs>
  <cellXfs count="236">
    <xf numFmtId="0" fontId="0" fillId="0" borderId="0" xfId="0"/>
    <xf numFmtId="0" fontId="3" fillId="0" borderId="7" xfId="1" applyFont="1" applyBorder="1"/>
    <xf numFmtId="0" fontId="4" fillId="0" borderId="8" xfId="1" applyFont="1" applyBorder="1" applyAlignment="1">
      <alignment horizontal="center"/>
    </xf>
    <xf numFmtId="0" fontId="3" fillId="0" borderId="8" xfId="1" applyFont="1" applyBorder="1"/>
    <xf numFmtId="0" fontId="3" fillId="0" borderId="8" xfId="1" applyFont="1" applyBorder="1" applyAlignment="1">
      <alignment horizontal="center"/>
    </xf>
    <xf numFmtId="0" fontId="5" fillId="0" borderId="7" xfId="1" applyFont="1" applyBorder="1" applyAlignment="1">
      <alignment horizontal="center" vertical="center"/>
    </xf>
    <xf numFmtId="0" fontId="5" fillId="0" borderId="8" xfId="1" applyFont="1" applyBorder="1" applyAlignment="1">
      <alignment horizontal="center" vertical="center"/>
    </xf>
    <xf numFmtId="0" fontId="5" fillId="0" borderId="8" xfId="1" applyFont="1" applyBorder="1"/>
    <xf numFmtId="0" fontId="3" fillId="0" borderId="0" xfId="1" applyFont="1"/>
    <xf numFmtId="0" fontId="3" fillId="0" borderId="9" xfId="1" applyFont="1" applyBorder="1"/>
    <xf numFmtId="0" fontId="5" fillId="0" borderId="10" xfId="1" applyFont="1" applyBorder="1" applyAlignment="1">
      <alignment horizontal="center"/>
    </xf>
    <xf numFmtId="0" fontId="3" fillId="0" borderId="10" xfId="1" applyFont="1" applyBorder="1"/>
    <xf numFmtId="0" fontId="3" fillId="0" borderId="10" xfId="1" applyFont="1" applyBorder="1" applyAlignment="1">
      <alignment horizontal="center"/>
    </xf>
    <xf numFmtId="0" fontId="5" fillId="0" borderId="9" xfId="1" applyFont="1" applyBorder="1" applyAlignment="1">
      <alignment horizontal="center" vertical="center"/>
    </xf>
    <xf numFmtId="0" fontId="5" fillId="0" borderId="10" xfId="1" applyFont="1" applyBorder="1" applyAlignment="1">
      <alignment horizontal="center" vertical="center"/>
    </xf>
    <xf numFmtId="0" fontId="5" fillId="0" borderId="10" xfId="1" applyFont="1" applyBorder="1"/>
    <xf numFmtId="0" fontId="6" fillId="0" borderId="0" xfId="1" applyFont="1" applyAlignment="1">
      <alignment horizontal="left"/>
    </xf>
    <xf numFmtId="0" fontId="6" fillId="0" borderId="0" xfId="1" applyFont="1"/>
    <xf numFmtId="0" fontId="6" fillId="0" borderId="0" xfId="1" applyFont="1" applyAlignment="1">
      <alignment horizontal="center"/>
    </xf>
    <xf numFmtId="0" fontId="6" fillId="0" borderId="7" xfId="1" applyFont="1" applyBorder="1" applyAlignment="1">
      <alignment vertical="center"/>
    </xf>
    <xf numFmtId="164" fontId="6" fillId="0" borderId="15" xfId="1" applyNumberFormat="1" applyFont="1" applyBorder="1" applyAlignment="1">
      <alignment horizontal="center" vertical="center"/>
    </xf>
    <xf numFmtId="0" fontId="6" fillId="0" borderId="0" xfId="1" applyFont="1" applyAlignment="1">
      <alignment vertical="center"/>
    </xf>
    <xf numFmtId="0" fontId="6" fillId="0" borderId="11" xfId="1" applyFont="1" applyBorder="1" applyAlignment="1">
      <alignment horizontal="center" vertical="center"/>
    </xf>
    <xf numFmtId="164" fontId="6" fillId="0" borderId="5" xfId="1" applyNumberFormat="1" applyFont="1" applyBorder="1" applyAlignment="1">
      <alignment horizontal="center" vertical="center"/>
    </xf>
    <xf numFmtId="16" fontId="6" fillId="0" borderId="6" xfId="1" applyNumberFormat="1" applyFont="1" applyBorder="1" applyAlignment="1">
      <alignment horizontal="center" vertical="center"/>
    </xf>
    <xf numFmtId="16" fontId="6" fillId="2" borderId="6" xfId="1" applyNumberFormat="1" applyFont="1" applyFill="1" applyBorder="1" applyAlignment="1">
      <alignment horizontal="center" vertical="center"/>
    </xf>
    <xf numFmtId="164" fontId="6" fillId="2" borderId="16" xfId="2" applyNumberFormat="1" applyFont="1" applyFill="1" applyBorder="1" applyAlignment="1">
      <alignment horizontal="center" vertical="center"/>
    </xf>
    <xf numFmtId="164" fontId="8" fillId="0" borderId="17" xfId="2" applyNumberFormat="1" applyFont="1" applyBorder="1" applyAlignment="1">
      <alignment horizontal="center" vertical="center"/>
    </xf>
    <xf numFmtId="164" fontId="8" fillId="2" borderId="17" xfId="2" applyNumberFormat="1" applyFont="1" applyFill="1" applyBorder="1" applyAlignment="1">
      <alignment horizontal="center" vertical="center"/>
    </xf>
    <xf numFmtId="164" fontId="6" fillId="0" borderId="0" xfId="1" applyNumberFormat="1" applyFont="1" applyAlignment="1">
      <alignment horizontal="center" vertical="center"/>
    </xf>
    <xf numFmtId="0" fontId="9" fillId="0" borderId="0" xfId="1" applyFont="1"/>
    <xf numFmtId="0" fontId="10" fillId="0" borderId="0" xfId="1" applyFont="1"/>
    <xf numFmtId="164" fontId="6" fillId="0" borderId="0" xfId="1" applyNumberFormat="1" applyFont="1"/>
    <xf numFmtId="0" fontId="6" fillId="0" borderId="0" xfId="1" applyFont="1" applyAlignment="1">
      <alignment horizontal="center" vertical="center"/>
    </xf>
    <xf numFmtId="9" fontId="6" fillId="0" borderId="0" xfId="2" applyFont="1"/>
    <xf numFmtId="164" fontId="3" fillId="0" borderId="0" xfId="1" applyNumberFormat="1" applyFont="1"/>
    <xf numFmtId="0" fontId="3" fillId="0" borderId="0" xfId="1" applyFont="1" applyAlignment="1">
      <alignment horizontal="center"/>
    </xf>
    <xf numFmtId="0" fontId="3" fillId="0" borderId="0" xfId="1" applyFont="1" applyAlignment="1">
      <alignment horizontal="center" vertical="center"/>
    </xf>
    <xf numFmtId="164" fontId="6" fillId="0" borderId="16" xfId="2" applyNumberFormat="1" applyFont="1" applyBorder="1" applyAlignment="1">
      <alignment horizontal="center" vertical="center"/>
    </xf>
    <xf numFmtId="0" fontId="10" fillId="0" borderId="0" xfId="0" applyFont="1"/>
    <xf numFmtId="0" fontId="10" fillId="0" borderId="6" xfId="0" applyFont="1" applyBorder="1"/>
    <xf numFmtId="0" fontId="10" fillId="0" borderId="6" xfId="0" applyFont="1" applyBorder="1" applyAlignment="1">
      <alignment wrapText="1"/>
    </xf>
    <xf numFmtId="0" fontId="5" fillId="0" borderId="18" xfId="1" applyFont="1" applyBorder="1"/>
    <xf numFmtId="0" fontId="5" fillId="0" borderId="19" xfId="1" applyFont="1" applyBorder="1"/>
    <xf numFmtId="164" fontId="6" fillId="0" borderId="21" xfId="2" applyNumberFormat="1" applyFont="1" applyBorder="1" applyAlignment="1">
      <alignment horizontal="center" vertical="center"/>
    </xf>
    <xf numFmtId="164" fontId="8" fillId="0" borderId="22" xfId="2" applyNumberFormat="1" applyFont="1" applyBorder="1" applyAlignment="1">
      <alignment horizontal="center" vertical="center"/>
    </xf>
    <xf numFmtId="166" fontId="0" fillId="0" borderId="0" xfId="3" applyNumberFormat="1" applyFont="1"/>
    <xf numFmtId="166" fontId="0" fillId="0" borderId="0" xfId="0" applyNumberFormat="1"/>
    <xf numFmtId="166" fontId="0" fillId="0" borderId="48" xfId="3" applyNumberFormat="1" applyFont="1" applyBorder="1"/>
    <xf numFmtId="0" fontId="3" fillId="0" borderId="0" xfId="0" applyFont="1"/>
    <xf numFmtId="9" fontId="0" fillId="0" borderId="0" xfId="5" applyFont="1"/>
    <xf numFmtId="0" fontId="1" fillId="0" borderId="0" xfId="0" applyFont="1"/>
    <xf numFmtId="166" fontId="12" fillId="3" borderId="49" xfId="3" applyNumberFormat="1" applyFont="1" applyFill="1" applyBorder="1"/>
    <xf numFmtId="0" fontId="0" fillId="0" borderId="10" xfId="0" applyBorder="1"/>
    <xf numFmtId="0" fontId="0" fillId="0" borderId="36" xfId="0" applyBorder="1"/>
    <xf numFmtId="0" fontId="0" fillId="0" borderId="38" xfId="0" applyBorder="1"/>
    <xf numFmtId="0" fontId="0" fillId="0" borderId="2" xfId="0" applyBorder="1"/>
    <xf numFmtId="0" fontId="0" fillId="0" borderId="29" xfId="0" applyBorder="1"/>
    <xf numFmtId="0" fontId="0" fillId="0" borderId="9" xfId="0" applyBorder="1"/>
    <xf numFmtId="9" fontId="14" fillId="4" borderId="58" xfId="7" applyNumberFormat="1"/>
    <xf numFmtId="166" fontId="0" fillId="5" borderId="59" xfId="9" applyNumberFormat="1" applyFont="1"/>
    <xf numFmtId="0" fontId="0" fillId="0" borderId="0" xfId="0" applyAlignment="1">
      <alignment horizontal="right"/>
    </xf>
    <xf numFmtId="0" fontId="16" fillId="0" borderId="0" xfId="10" applyAlignment="1">
      <alignment horizontal="left" vertical="top"/>
    </xf>
    <xf numFmtId="0" fontId="17" fillId="0" borderId="61" xfId="10" applyFont="1" applyBorder="1" applyAlignment="1">
      <alignment horizontal="center" vertical="top" wrapText="1"/>
    </xf>
    <xf numFmtId="1" fontId="18" fillId="0" borderId="61" xfId="10" applyNumberFormat="1" applyFont="1" applyBorder="1" applyAlignment="1">
      <alignment horizontal="center" vertical="top" shrinkToFit="1"/>
    </xf>
    <xf numFmtId="0" fontId="19" fillId="0" borderId="61" xfId="10" applyFont="1" applyBorder="1" applyAlignment="1">
      <alignment horizontal="center" vertical="top" wrapText="1"/>
    </xf>
    <xf numFmtId="1" fontId="18" fillId="0" borderId="66" xfId="10" applyNumberFormat="1" applyFont="1" applyBorder="1" applyAlignment="1">
      <alignment horizontal="center" vertical="top" shrinkToFit="1"/>
    </xf>
    <xf numFmtId="1" fontId="18" fillId="0" borderId="67" xfId="10" applyNumberFormat="1" applyFont="1" applyBorder="1" applyAlignment="1">
      <alignment horizontal="center" vertical="top" shrinkToFit="1"/>
    </xf>
    <xf numFmtId="1" fontId="18" fillId="0" borderId="68" xfId="10" applyNumberFormat="1" applyFont="1" applyBorder="1" applyAlignment="1">
      <alignment horizontal="center" vertical="top" shrinkToFit="1"/>
    </xf>
    <xf numFmtId="0" fontId="17" fillId="0" borderId="64" xfId="10" applyFont="1" applyBorder="1" applyAlignment="1">
      <alignment horizontal="center" vertical="top" wrapText="1"/>
    </xf>
    <xf numFmtId="0" fontId="16" fillId="0" borderId="64" xfId="10" applyBorder="1" applyAlignment="1">
      <alignment horizontal="center" vertical="top" wrapText="1"/>
    </xf>
    <xf numFmtId="0" fontId="19" fillId="0" borderId="63" xfId="10" applyFont="1" applyBorder="1" applyAlignment="1">
      <alignment horizontal="center" vertical="top" wrapText="1"/>
    </xf>
    <xf numFmtId="44" fontId="20" fillId="0" borderId="6" xfId="3" applyFont="1" applyBorder="1" applyAlignment="1">
      <alignment horizontal="center" vertical="center"/>
    </xf>
    <xf numFmtId="44" fontId="20" fillId="0" borderId="4" xfId="3" applyFont="1" applyBorder="1" applyAlignment="1">
      <alignment horizontal="center" vertical="center"/>
    </xf>
    <xf numFmtId="44" fontId="20" fillId="0" borderId="5" xfId="3" applyFont="1" applyBorder="1" applyAlignment="1">
      <alignment horizontal="center" vertical="center"/>
    </xf>
    <xf numFmtId="1" fontId="18" fillId="0" borderId="6" xfId="10" applyNumberFormat="1" applyFont="1" applyBorder="1" applyAlignment="1">
      <alignment horizontal="center" vertical="top" shrinkToFit="1"/>
    </xf>
    <xf numFmtId="9" fontId="20" fillId="0" borderId="6" xfId="5" applyFont="1" applyBorder="1"/>
    <xf numFmtId="0" fontId="3" fillId="0" borderId="0" xfId="0" applyFont="1" applyAlignment="1">
      <alignment horizontal="right"/>
    </xf>
    <xf numFmtId="0" fontId="3" fillId="0" borderId="36" xfId="0" applyFont="1" applyBorder="1"/>
    <xf numFmtId="9" fontId="0" fillId="0" borderId="0" xfId="0" applyNumberFormat="1"/>
    <xf numFmtId="9" fontId="12" fillId="3" borderId="49" xfId="6" applyNumberFormat="1"/>
    <xf numFmtId="9" fontId="15" fillId="4" borderId="49" xfId="8" applyNumberFormat="1"/>
    <xf numFmtId="0" fontId="3" fillId="0" borderId="30" xfId="0" applyFont="1" applyBorder="1"/>
    <xf numFmtId="0" fontId="12" fillId="3" borderId="49" xfId="6"/>
    <xf numFmtId="9" fontId="0" fillId="0" borderId="30" xfId="5" applyFont="1" applyBorder="1"/>
    <xf numFmtId="9" fontId="14" fillId="4" borderId="72" xfId="7" applyNumberFormat="1" applyBorder="1"/>
    <xf numFmtId="167" fontId="0" fillId="0" borderId="0" xfId="4" applyNumberFormat="1" applyFont="1" applyAlignment="1">
      <alignment horizontal="center" vertical="center"/>
    </xf>
    <xf numFmtId="0" fontId="6" fillId="0" borderId="11" xfId="1" applyFont="1" applyBorder="1"/>
    <xf numFmtId="0" fontId="6" fillId="0" borderId="3" xfId="1" applyFont="1" applyBorder="1"/>
    <xf numFmtId="0" fontId="6" fillId="0" borderId="12" xfId="1" applyFont="1" applyBorder="1"/>
    <xf numFmtId="0" fontId="6" fillId="0" borderId="13" xfId="1" applyFont="1" applyBorder="1"/>
    <xf numFmtId="0" fontId="6" fillId="0" borderId="12" xfId="1" applyFont="1" applyBorder="1" applyAlignment="1">
      <alignment vertical="center"/>
    </xf>
    <xf numFmtId="0" fontId="6" fillId="0" borderId="14" xfId="1" applyFont="1" applyBorder="1" applyAlignment="1">
      <alignment vertical="center"/>
    </xf>
    <xf numFmtId="0" fontId="6" fillId="0" borderId="9" xfId="1" applyFont="1" applyBorder="1" applyAlignment="1">
      <alignment vertical="center"/>
    </xf>
    <xf numFmtId="0" fontId="6" fillId="0" borderId="10" xfId="1" applyFont="1" applyBorder="1" applyAlignment="1">
      <alignment vertical="center"/>
    </xf>
    <xf numFmtId="6" fontId="0" fillId="0" borderId="0" xfId="0" applyNumberFormat="1"/>
    <xf numFmtId="6" fontId="0" fillId="0" borderId="38" xfId="0" applyNumberFormat="1" applyBorder="1"/>
    <xf numFmtId="6" fontId="0" fillId="0" borderId="3" xfId="0" applyNumberFormat="1" applyBorder="1"/>
    <xf numFmtId="6" fontId="0" fillId="0" borderId="37" xfId="0" applyNumberFormat="1" applyBorder="1"/>
    <xf numFmtId="0" fontId="0" fillId="0" borderId="29" xfId="0" applyBorder="1" applyAlignment="1">
      <alignment horizontal="right"/>
    </xf>
    <xf numFmtId="0" fontId="0" fillId="0" borderId="38" xfId="0" applyBorder="1" applyAlignment="1">
      <alignment horizontal="right"/>
    </xf>
    <xf numFmtId="9" fontId="0" fillId="0" borderId="29" xfId="0" applyNumberFormat="1" applyBorder="1" applyAlignment="1">
      <alignment horizontal="center"/>
    </xf>
    <xf numFmtId="9" fontId="0" fillId="0" borderId="0" xfId="0" applyNumberFormat="1" applyAlignment="1">
      <alignment horizontal="center"/>
    </xf>
    <xf numFmtId="9" fontId="0" fillId="0" borderId="2" xfId="0" applyNumberFormat="1" applyBorder="1" applyAlignment="1">
      <alignment horizontal="center"/>
    </xf>
    <xf numFmtId="9" fontId="0" fillId="0" borderId="3" xfId="0" applyNumberFormat="1" applyBorder="1" applyAlignment="1">
      <alignment horizontal="center"/>
    </xf>
    <xf numFmtId="0" fontId="0" fillId="6" borderId="29" xfId="0" applyFill="1" applyBorder="1" applyAlignment="1">
      <alignment horizontal="right"/>
    </xf>
    <xf numFmtId="0" fontId="0" fillId="6" borderId="0" xfId="0" applyFill="1" applyAlignment="1">
      <alignment horizontal="right"/>
    </xf>
    <xf numFmtId="0" fontId="0" fillId="6" borderId="38" xfId="0" applyFill="1" applyBorder="1" applyAlignment="1">
      <alignment horizontal="right"/>
    </xf>
    <xf numFmtId="9" fontId="0" fillId="6" borderId="29" xfId="0" applyNumberFormat="1" applyFill="1" applyBorder="1" applyAlignment="1">
      <alignment horizontal="center"/>
    </xf>
    <xf numFmtId="9" fontId="0" fillId="6" borderId="0" xfId="0" applyNumberFormat="1" applyFill="1" applyAlignment="1">
      <alignment horizontal="center"/>
    </xf>
    <xf numFmtId="6" fontId="0" fillId="6" borderId="0" xfId="0" applyNumberFormat="1" applyFill="1"/>
    <xf numFmtId="6" fontId="0" fillId="6" borderId="38" xfId="0" applyNumberFormat="1" applyFill="1" applyBorder="1"/>
    <xf numFmtId="9" fontId="0" fillId="6" borderId="2" xfId="0" applyNumberFormat="1" applyFill="1" applyBorder="1" applyAlignment="1">
      <alignment horizontal="center"/>
    </xf>
    <xf numFmtId="9" fontId="0" fillId="6" borderId="3" xfId="0" applyNumberFormat="1" applyFill="1" applyBorder="1" applyAlignment="1">
      <alignment horizontal="center"/>
    </xf>
    <xf numFmtId="6" fontId="0" fillId="6" borderId="3" xfId="0" applyNumberFormat="1" applyFill="1" applyBorder="1"/>
    <xf numFmtId="6" fontId="0" fillId="6" borderId="37" xfId="0" applyNumberFormat="1" applyFill="1" applyBorder="1"/>
    <xf numFmtId="0" fontId="3" fillId="0" borderId="38" xfId="0" applyFont="1" applyBorder="1"/>
    <xf numFmtId="0" fontId="3" fillId="0" borderId="29" xfId="0" applyFont="1" applyBorder="1"/>
    <xf numFmtId="9" fontId="0" fillId="0" borderId="38" xfId="5" applyFont="1" applyBorder="1"/>
    <xf numFmtId="9" fontId="15" fillId="4" borderId="73" xfId="8" applyNumberFormat="1" applyBorder="1"/>
    <xf numFmtId="9" fontId="11" fillId="0" borderId="38" xfId="5" applyBorder="1"/>
    <xf numFmtId="10" fontId="15" fillId="4" borderId="73" xfId="8" applyNumberFormat="1" applyBorder="1"/>
    <xf numFmtId="10" fontId="0" fillId="0" borderId="38" xfId="0" applyNumberFormat="1" applyBorder="1"/>
    <xf numFmtId="168" fontId="14" fillId="4" borderId="75" xfId="7" applyNumberFormat="1" applyBorder="1"/>
    <xf numFmtId="165" fontId="0" fillId="0" borderId="0" xfId="0" applyNumberFormat="1" applyAlignment="1">
      <alignment horizontal="left"/>
    </xf>
    <xf numFmtId="17" fontId="3" fillId="0" borderId="0" xfId="0" applyNumberFormat="1" applyFont="1" applyAlignment="1">
      <alignment horizontal="left"/>
    </xf>
    <xf numFmtId="166" fontId="3" fillId="0" borderId="0" xfId="3" applyNumberFormat="1" applyFont="1"/>
    <xf numFmtId="0" fontId="16" fillId="0" borderId="0" xfId="10" applyAlignment="1">
      <alignment horizontal="right" vertical="top"/>
    </xf>
    <xf numFmtId="0" fontId="16" fillId="0" borderId="60" xfId="10" applyBorder="1" applyAlignment="1">
      <alignment horizontal="right" vertical="top"/>
    </xf>
    <xf numFmtId="0" fontId="19" fillId="0" borderId="66" xfId="10" applyFont="1" applyBorder="1" applyAlignment="1">
      <alignment horizontal="center" vertical="top" wrapText="1"/>
    </xf>
    <xf numFmtId="0" fontId="19" fillId="0" borderId="65" xfId="10" applyFont="1" applyBorder="1" applyAlignment="1">
      <alignment horizontal="center" vertical="top" wrapText="1"/>
    </xf>
    <xf numFmtId="0" fontId="19" fillId="0" borderId="64" xfId="10" applyFont="1" applyBorder="1" applyAlignment="1">
      <alignment horizontal="center" vertical="top" wrapText="1"/>
    </xf>
    <xf numFmtId="1" fontId="18" fillId="0" borderId="63" xfId="10" applyNumberFormat="1" applyFont="1" applyBorder="1" applyAlignment="1">
      <alignment horizontal="center" vertical="top" shrinkToFit="1"/>
    </xf>
    <xf numFmtId="1" fontId="18" fillId="0" borderId="62" xfId="10" applyNumberFormat="1" applyFont="1" applyBorder="1" applyAlignment="1">
      <alignment horizontal="center" vertical="top" shrinkToFit="1"/>
    </xf>
    <xf numFmtId="0" fontId="17" fillId="0" borderId="63" xfId="10" applyFont="1" applyBorder="1" applyAlignment="1">
      <alignment horizontal="left" vertical="top" wrapText="1" indent="1"/>
    </xf>
    <xf numFmtId="0" fontId="17" fillId="0" borderId="62" xfId="10" applyFont="1" applyBorder="1" applyAlignment="1">
      <alignment horizontal="left" vertical="top" wrapText="1" indent="1"/>
    </xf>
    <xf numFmtId="0" fontId="16" fillId="0" borderId="63" xfId="10" applyBorder="1" applyAlignment="1">
      <alignment horizontal="center" vertical="top" wrapText="1"/>
    </xf>
    <xf numFmtId="0" fontId="16" fillId="0" borderId="62" xfId="10" applyBorder="1" applyAlignment="1">
      <alignment horizontal="center" vertical="top" wrapText="1"/>
    </xf>
    <xf numFmtId="0" fontId="16" fillId="0" borderId="69" xfId="10" applyBorder="1" applyAlignment="1">
      <alignment horizontal="center" vertical="top" wrapText="1"/>
    </xf>
    <xf numFmtId="0" fontId="16" fillId="0" borderId="70" xfId="10" applyBorder="1" applyAlignment="1">
      <alignment horizontal="center" vertical="top" wrapText="1"/>
    </xf>
    <xf numFmtId="0" fontId="3" fillId="6" borderId="25" xfId="0" applyFont="1" applyFill="1" applyBorder="1" applyAlignment="1">
      <alignment horizontal="center"/>
    </xf>
    <xf numFmtId="0" fontId="0" fillId="6" borderId="13" xfId="0" applyFill="1" applyBorder="1" applyAlignment="1">
      <alignment horizontal="center"/>
    </xf>
    <xf numFmtId="0" fontId="0" fillId="6" borderId="14" xfId="0" applyFill="1" applyBorder="1" applyAlignment="1">
      <alignment horizontal="center"/>
    </xf>
    <xf numFmtId="0" fontId="3" fillId="0" borderId="25"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9" fillId="0" borderId="0" xfId="0" applyFont="1" applyAlignment="1">
      <alignment horizontal="center"/>
    </xf>
    <xf numFmtId="0" fontId="1" fillId="0" borderId="10" xfId="0" applyFont="1" applyBorder="1" applyAlignment="1">
      <alignment horizontal="right"/>
    </xf>
    <xf numFmtId="0" fontId="1" fillId="0" borderId="71" xfId="0" applyFont="1" applyBorder="1" applyAlignment="1">
      <alignment horizontal="right"/>
    </xf>
    <xf numFmtId="0" fontId="13" fillId="0" borderId="7" xfId="0" applyFont="1" applyBorder="1" applyAlignment="1">
      <alignment horizontal="center"/>
    </xf>
    <xf numFmtId="0" fontId="13" fillId="0" borderId="8" xfId="0" applyFont="1" applyBorder="1" applyAlignment="1">
      <alignment horizontal="center"/>
    </xf>
    <xf numFmtId="0" fontId="13" fillId="0" borderId="18" xfId="0" applyFont="1" applyBorder="1" applyAlignment="1">
      <alignment horizontal="center"/>
    </xf>
    <xf numFmtId="0" fontId="13" fillId="0" borderId="1" xfId="0" applyFont="1" applyBorder="1" applyAlignment="1">
      <alignment horizontal="center"/>
    </xf>
    <xf numFmtId="0" fontId="13" fillId="0" borderId="27" xfId="0" applyFont="1" applyBorder="1" applyAlignment="1">
      <alignment horizontal="center"/>
    </xf>
    <xf numFmtId="0" fontId="13" fillId="0" borderId="35" xfId="0" applyFont="1" applyBorder="1" applyAlignment="1">
      <alignment horizontal="center"/>
    </xf>
    <xf numFmtId="0" fontId="13" fillId="0" borderId="29" xfId="0" applyFont="1" applyBorder="1" applyAlignment="1">
      <alignment horizontal="center"/>
    </xf>
    <xf numFmtId="0" fontId="13" fillId="0" borderId="0" xfId="0" applyFont="1" applyAlignment="1">
      <alignment horizontal="center"/>
    </xf>
    <xf numFmtId="0" fontId="13" fillId="0" borderId="38" xfId="0" applyFont="1" applyBorder="1" applyAlignment="1">
      <alignment horizontal="center"/>
    </xf>
    <xf numFmtId="0" fontId="0" fillId="0" borderId="0" xfId="0"/>
    <xf numFmtId="0" fontId="1" fillId="0" borderId="3" xfId="0" applyFont="1" applyBorder="1" applyAlignment="1">
      <alignment horizontal="right"/>
    </xf>
    <xf numFmtId="0" fontId="1" fillId="0" borderId="74" xfId="0" applyFont="1" applyBorder="1" applyAlignment="1">
      <alignment horizontal="right"/>
    </xf>
    <xf numFmtId="0" fontId="5" fillId="0" borderId="10" xfId="1" applyFont="1" applyBorder="1" applyAlignment="1">
      <alignment horizontal="center"/>
    </xf>
    <xf numFmtId="0" fontId="0" fillId="0" borderId="10" xfId="0" applyBorder="1"/>
    <xf numFmtId="164" fontId="3" fillId="0" borderId="6" xfId="1" applyNumberFormat="1" applyFont="1" applyBorder="1" applyAlignment="1">
      <alignment horizontal="center" vertical="center"/>
    </xf>
    <xf numFmtId="0" fontId="0" fillId="0" borderId="5" xfId="0" applyBorder="1"/>
    <xf numFmtId="0" fontId="3" fillId="0" borderId="50" xfId="1" applyFont="1" applyBorder="1" applyAlignment="1">
      <alignment horizontal="center" vertical="center"/>
    </xf>
    <xf numFmtId="0" fontId="0" fillId="0" borderId="42" xfId="0" applyBorder="1"/>
    <xf numFmtId="0" fontId="3" fillId="0" borderId="6" xfId="1" applyFont="1" applyBorder="1" applyAlignment="1">
      <alignment horizontal="left" vertical="center"/>
    </xf>
    <xf numFmtId="0" fontId="0" fillId="0" borderId="27" xfId="0" applyBorder="1"/>
    <xf numFmtId="0" fontId="0" fillId="0" borderId="35" xfId="0" applyBorder="1"/>
    <xf numFmtId="0" fontId="0" fillId="0" borderId="2" xfId="0" applyBorder="1"/>
    <xf numFmtId="0" fontId="0" fillId="0" borderId="3" xfId="0" applyBorder="1"/>
    <xf numFmtId="0" fontId="0" fillId="0" borderId="37" xfId="0" applyBorder="1"/>
    <xf numFmtId="164" fontId="3" fillId="2" borderId="6" xfId="1" applyNumberFormat="1" applyFont="1" applyFill="1" applyBorder="1" applyAlignment="1">
      <alignment horizontal="center" vertical="center"/>
    </xf>
    <xf numFmtId="14" fontId="8" fillId="0" borderId="6" xfId="1" applyNumberFormat="1" applyFont="1" applyBorder="1" applyAlignment="1">
      <alignment horizontal="center"/>
    </xf>
    <xf numFmtId="0" fontId="0" fillId="0" borderId="14" xfId="0" applyBorder="1"/>
    <xf numFmtId="0" fontId="6" fillId="0" borderId="41" xfId="1" applyFont="1" applyBorder="1" applyAlignment="1">
      <alignment horizontal="left"/>
    </xf>
    <xf numFmtId="0" fontId="6" fillId="0" borderId="43" xfId="1" applyFont="1" applyBorder="1" applyAlignment="1">
      <alignment horizontal="center" vertical="center"/>
    </xf>
    <xf numFmtId="0" fontId="0" fillId="0" borderId="8" xfId="0" applyBorder="1"/>
    <xf numFmtId="0" fontId="0" fillId="0" borderId="43" xfId="0" applyBorder="1"/>
    <xf numFmtId="14" fontId="8" fillId="0" borderId="57" xfId="1" applyNumberFormat="1" applyFont="1" applyBorder="1" applyAlignment="1">
      <alignment horizontal="center"/>
    </xf>
    <xf numFmtId="0" fontId="0" fillId="0" borderId="40" xfId="0" applyBorder="1"/>
    <xf numFmtId="0" fontId="1" fillId="0" borderId="50" xfId="1" applyFont="1" applyBorder="1" applyAlignment="1">
      <alignment horizontal="center" vertical="center"/>
    </xf>
    <xf numFmtId="164" fontId="3" fillId="0" borderId="20" xfId="1" applyNumberFormat="1" applyFont="1" applyBorder="1" applyAlignment="1">
      <alignment horizontal="center" vertical="center"/>
    </xf>
    <xf numFmtId="0" fontId="0" fillId="0" borderId="34" xfId="0" applyBorder="1"/>
    <xf numFmtId="0" fontId="6" fillId="0" borderId="33" xfId="1" applyFont="1" applyBorder="1" applyAlignment="1">
      <alignment horizontal="left"/>
    </xf>
    <xf numFmtId="0" fontId="0" fillId="0" borderId="28" xfId="0" applyBorder="1"/>
    <xf numFmtId="0" fontId="6" fillId="0" borderId="47" xfId="1" applyFont="1" applyBorder="1" applyAlignment="1">
      <alignment horizontal="center"/>
    </xf>
    <xf numFmtId="0" fontId="0" fillId="0" borderId="38" xfId="0" applyBorder="1"/>
    <xf numFmtId="0" fontId="0" fillId="0" borderId="32" xfId="0" applyBorder="1"/>
    <xf numFmtId="0" fontId="0" fillId="0" borderId="39" xfId="0" applyBorder="1"/>
    <xf numFmtId="0" fontId="6" fillId="0" borderId="55" xfId="1" applyFont="1" applyBorder="1" applyAlignment="1">
      <alignment horizontal="center" vertical="center"/>
    </xf>
    <xf numFmtId="0" fontId="0" fillId="0" borderId="23" xfId="0" applyBorder="1"/>
    <xf numFmtId="0" fontId="0" fillId="0" borderId="24" xfId="0" applyBorder="1"/>
    <xf numFmtId="0" fontId="6" fillId="0" borderId="0" xfId="1" applyFont="1"/>
    <xf numFmtId="0" fontId="1" fillId="0" borderId="52" xfId="1" applyFont="1" applyBorder="1" applyAlignment="1">
      <alignment horizontal="right" vertical="center"/>
    </xf>
    <xf numFmtId="0" fontId="0" fillId="0" borderId="9" xfId="0" applyBorder="1"/>
    <xf numFmtId="0" fontId="6" fillId="0" borderId="46" xfId="1" applyFont="1" applyBorder="1" applyAlignment="1">
      <alignment horizontal="left"/>
    </xf>
    <xf numFmtId="0" fontId="6" fillId="0" borderId="5" xfId="1" applyFont="1" applyBorder="1" applyAlignment="1">
      <alignment horizontal="center"/>
    </xf>
    <xf numFmtId="0" fontId="6" fillId="0" borderId="6" xfId="1" applyFont="1" applyBorder="1" applyAlignment="1">
      <alignment horizontal="left"/>
    </xf>
    <xf numFmtId="0" fontId="0" fillId="0" borderId="13" xfId="0" applyBorder="1"/>
    <xf numFmtId="0" fontId="6" fillId="0" borderId="37" xfId="1" applyFont="1" applyBorder="1" applyAlignment="1">
      <alignment horizontal="center" vertical="center"/>
    </xf>
    <xf numFmtId="16" fontId="6" fillId="0" borderId="53" xfId="1" applyNumberFormat="1" applyFont="1" applyBorder="1" applyAlignment="1">
      <alignment horizontal="center" vertical="center"/>
    </xf>
    <xf numFmtId="0" fontId="0" fillId="0" borderId="44" xfId="0" applyBorder="1"/>
    <xf numFmtId="0" fontId="0" fillId="0" borderId="45" xfId="0" applyBorder="1"/>
    <xf numFmtId="0" fontId="4" fillId="0" borderId="8" xfId="1" applyFont="1" applyBorder="1" applyAlignment="1">
      <alignment horizontal="center"/>
    </xf>
    <xf numFmtId="0" fontId="6" fillId="0" borderId="20" xfId="1" applyFont="1" applyBorder="1" applyAlignment="1">
      <alignment horizontal="left"/>
    </xf>
    <xf numFmtId="0" fontId="0" fillId="0" borderId="26" xfId="0" applyBorder="1"/>
    <xf numFmtId="0" fontId="6" fillId="0" borderId="4" xfId="1" applyFont="1" applyBorder="1" applyAlignment="1">
      <alignment horizontal="left"/>
    </xf>
    <xf numFmtId="0" fontId="1" fillId="0" borderId="42" xfId="1" applyFont="1" applyBorder="1" applyAlignment="1">
      <alignment horizontal="center" vertical="center"/>
    </xf>
    <xf numFmtId="0" fontId="6" fillId="0" borderId="4" xfId="1" applyFont="1" applyBorder="1" applyAlignment="1">
      <alignment horizontal="center"/>
    </xf>
    <xf numFmtId="0" fontId="8" fillId="0" borderId="46" xfId="1" applyFont="1" applyBorder="1" applyAlignment="1">
      <alignment horizontal="left"/>
    </xf>
    <xf numFmtId="0" fontId="6" fillId="0" borderId="4" xfId="1" applyFont="1" applyBorder="1" applyAlignment="1">
      <alignment horizontal="center" wrapText="1"/>
    </xf>
    <xf numFmtId="0" fontId="0" fillId="0" borderId="29" xfId="0" applyBorder="1"/>
    <xf numFmtId="164" fontId="6" fillId="0" borderId="4" xfId="1" applyNumberFormat="1" applyFont="1" applyBorder="1" applyAlignment="1">
      <alignment horizontal="left"/>
    </xf>
    <xf numFmtId="0" fontId="6" fillId="0" borderId="54" xfId="1" applyFont="1" applyBorder="1" applyAlignment="1">
      <alignment horizontal="left" wrapText="1"/>
    </xf>
    <xf numFmtId="0" fontId="0" fillId="0" borderId="18" xfId="0" applyBorder="1"/>
    <xf numFmtId="0" fontId="0" fillId="0" borderId="36" xfId="0" applyBorder="1"/>
    <xf numFmtId="0" fontId="6" fillId="0" borderId="0" xfId="1" applyFont="1" applyAlignment="1">
      <alignment horizontal="left"/>
    </xf>
    <xf numFmtId="0" fontId="0" fillId="0" borderId="30" xfId="0" applyBorder="1"/>
    <xf numFmtId="0" fontId="0" fillId="0" borderId="11" xfId="0" applyBorder="1"/>
    <xf numFmtId="0" fontId="0" fillId="0" borderId="31" xfId="0" applyBorder="1"/>
    <xf numFmtId="0" fontId="6" fillId="0" borderId="33" xfId="1" applyFont="1" applyBorder="1" applyAlignment="1">
      <alignment horizontal="left" vertical="center"/>
    </xf>
    <xf numFmtId="0" fontId="6" fillId="0" borderId="4" xfId="1" applyFont="1" applyBorder="1" applyAlignment="1">
      <alignment horizontal="center" vertical="center"/>
    </xf>
    <xf numFmtId="0" fontId="6" fillId="0" borderId="56" xfId="1" applyFont="1" applyBorder="1" applyAlignment="1">
      <alignment horizontal="left"/>
    </xf>
    <xf numFmtId="0" fontId="0" fillId="0" borderId="19" xfId="0" applyBorder="1"/>
    <xf numFmtId="164" fontId="1" fillId="0" borderId="51" xfId="1" applyNumberFormat="1" applyFont="1" applyBorder="1" applyAlignment="1">
      <alignment horizontal="center" vertical="center"/>
    </xf>
    <xf numFmtId="0" fontId="0" fillId="0" borderId="47" xfId="0" applyBorder="1"/>
    <xf numFmtId="0" fontId="6" fillId="0" borderId="34" xfId="1" applyFont="1" applyBorder="1" applyAlignment="1">
      <alignment horizontal="left"/>
    </xf>
    <xf numFmtId="0" fontId="8" fillId="0" borderId="47" xfId="1" applyFont="1" applyBorder="1" applyAlignment="1">
      <alignment horizontal="left"/>
    </xf>
    <xf numFmtId="14" fontId="6" fillId="0" borderId="47" xfId="1" applyNumberFormat="1" applyFont="1" applyBorder="1" applyAlignment="1">
      <alignment horizontal="center"/>
    </xf>
    <xf numFmtId="0" fontId="7" fillId="0" borderId="5" xfId="1" applyFont="1" applyBorder="1" applyAlignment="1">
      <alignment horizontal="center" vertical="center" wrapText="1"/>
    </xf>
    <xf numFmtId="164" fontId="3" fillId="0" borderId="4" xfId="1" applyNumberFormat="1" applyFont="1" applyBorder="1" applyAlignment="1">
      <alignment horizontal="center" vertical="center"/>
    </xf>
    <xf numFmtId="0" fontId="0" fillId="0" borderId="46" xfId="0" applyBorder="1"/>
    <xf numFmtId="0" fontId="9" fillId="0" borderId="3" xfId="0" applyFont="1" applyBorder="1" applyAlignment="1">
      <alignment horizontal="center"/>
    </xf>
    <xf numFmtId="0" fontId="10" fillId="0" borderId="6" xfId="0" applyFont="1" applyBorder="1" applyAlignment="1">
      <alignment horizontal="left"/>
    </xf>
  </cellXfs>
  <cellStyles count="11">
    <cellStyle name="Calculation" xfId="8" builtinId="22"/>
    <cellStyle name="Comma" xfId="4" builtinId="3"/>
    <cellStyle name="Currency" xfId="3" builtinId="4"/>
    <cellStyle name="Input" xfId="6" builtinId="20"/>
    <cellStyle name="Normal" xfId="0" builtinId="0"/>
    <cellStyle name="Normal 2" xfId="1" xr:uid="{00000000-0005-0000-0000-000001000000}"/>
    <cellStyle name="Normal 3" xfId="10" xr:uid="{5B4FB517-2E2B-409A-B71A-E95F307356AD}"/>
    <cellStyle name="Note" xfId="9" builtinId="10"/>
    <cellStyle name="Output" xfId="7" builtinId="21"/>
    <cellStyle name="Percent" xfId="5" builtinId="5"/>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
  <sheetViews>
    <sheetView tabSelected="1" workbookViewId="0">
      <selection activeCell="H4" sqref="H4"/>
    </sheetView>
  </sheetViews>
  <sheetFormatPr defaultRowHeight="13.15" x14ac:dyDescent="0.4"/>
  <cols>
    <col min="1" max="1" width="9.640625" bestFit="1" customWidth="1"/>
    <col min="2" max="2" width="11.42578125" bestFit="1" customWidth="1"/>
    <col min="3" max="3" width="11.78515625" bestFit="1" customWidth="1"/>
    <col min="4" max="4" width="11.5" bestFit="1" customWidth="1"/>
    <col min="5" max="5" width="14.28515625" bestFit="1" customWidth="1"/>
    <col min="6" max="6" width="9.640625" bestFit="1" customWidth="1"/>
    <col min="7" max="7" width="11.78515625" bestFit="1" customWidth="1"/>
    <col min="8" max="8" width="9.7109375" bestFit="1" customWidth="1"/>
    <col min="9" max="9" width="11.140625" bestFit="1" customWidth="1"/>
    <col min="10" max="10" width="9.640625" bestFit="1" customWidth="1"/>
    <col min="11" max="11" width="11.78515625" bestFit="1" customWidth="1"/>
    <col min="12" max="12" width="10.35546875" bestFit="1" customWidth="1"/>
    <col min="13" max="13" width="11.140625" bestFit="1" customWidth="1"/>
  </cols>
  <sheetData>
    <row r="1" spans="1:13" x14ac:dyDescent="0.4">
      <c r="B1" s="49" t="s">
        <v>3</v>
      </c>
      <c r="C1" s="49" t="s">
        <v>9</v>
      </c>
      <c r="D1" s="49" t="s">
        <v>43</v>
      </c>
      <c r="E1" s="49" t="s">
        <v>44</v>
      </c>
      <c r="F1" s="49" t="s">
        <v>45</v>
      </c>
      <c r="G1" s="49" t="s">
        <v>46</v>
      </c>
      <c r="H1" s="49" t="s">
        <v>47</v>
      </c>
    </row>
    <row r="2" spans="1:13" x14ac:dyDescent="0.4">
      <c r="A2" s="49" t="s">
        <v>48</v>
      </c>
      <c r="B2" s="46">
        <v>977000</v>
      </c>
      <c r="C2" s="50">
        <f>'POC Calc'!F32</f>
        <v>0.74024206349206334</v>
      </c>
      <c r="D2" s="46">
        <f>B2*IF(C2="",0,C2)</f>
        <v>723216.49603174592</v>
      </c>
      <c r="E2" s="126">
        <f>209852+51292</f>
        <v>261144</v>
      </c>
      <c r="F2" s="46">
        <f>D2-IF(E2="",0,E2)</f>
        <v>462072.49603174592</v>
      </c>
      <c r="G2" s="50">
        <v>0</v>
      </c>
      <c r="H2" s="47">
        <f>F2-(F2*G2)</f>
        <v>462072.49603174592</v>
      </c>
    </row>
    <row r="3" spans="1:13" x14ac:dyDescent="0.4">
      <c r="A3" s="49" t="s">
        <v>49</v>
      </c>
      <c r="B3" s="46">
        <v>619000</v>
      </c>
      <c r="C3" s="50">
        <f>'POC Calc'!K45</f>
        <v>7.0070370370370366E-2</v>
      </c>
      <c r="D3" s="46">
        <f>B3*IF(C3="",0,C3)</f>
        <v>43373.559259259258</v>
      </c>
      <c r="E3" s="46">
        <v>12939</v>
      </c>
      <c r="F3" s="46">
        <f>D3-IF(E3="",0,E3)</f>
        <v>30434.559259259258</v>
      </c>
      <c r="H3" s="47">
        <f>F3-(F3*G2)</f>
        <v>30434.559259259258</v>
      </c>
    </row>
    <row r="4" spans="1:13" x14ac:dyDescent="0.4">
      <c r="A4" s="49" t="s">
        <v>50</v>
      </c>
      <c r="B4" s="46">
        <f>B2+B3</f>
        <v>1596000</v>
      </c>
      <c r="D4" s="46">
        <f>D2+D3</f>
        <v>766590.05529100518</v>
      </c>
      <c r="E4" s="46">
        <f>IF(E2="",0,E2)+IF(E3="",0,E3)</f>
        <v>274083</v>
      </c>
      <c r="F4" s="46">
        <f>F2+F3</f>
        <v>492507.05529100518</v>
      </c>
      <c r="G4" s="46">
        <f>G2*F4</f>
        <v>0</v>
      </c>
      <c r="H4" s="60">
        <f>F4-G4</f>
        <v>492507.05529100518</v>
      </c>
    </row>
    <row r="7" spans="1:13" ht="15" x14ac:dyDescent="0.4">
      <c r="A7" s="146" t="s">
        <v>249</v>
      </c>
      <c r="B7" s="146"/>
      <c r="C7" s="146"/>
      <c r="D7" s="146"/>
      <c r="E7" s="146"/>
      <c r="F7" s="146"/>
      <c r="G7" s="146"/>
      <c r="H7" s="146"/>
      <c r="I7" s="146"/>
      <c r="J7" s="146"/>
      <c r="K7" s="146"/>
      <c r="L7" s="146"/>
      <c r="M7" s="146"/>
    </row>
    <row r="8" spans="1:13" x14ac:dyDescent="0.4">
      <c r="B8" s="140" t="s">
        <v>48</v>
      </c>
      <c r="C8" s="141"/>
      <c r="D8" s="141"/>
      <c r="E8" s="142"/>
      <c r="F8" s="143" t="s">
        <v>49</v>
      </c>
      <c r="G8" s="144"/>
      <c r="H8" s="144"/>
      <c r="I8" s="145"/>
      <c r="J8" s="140" t="s">
        <v>248</v>
      </c>
      <c r="K8" s="141"/>
      <c r="L8" s="141"/>
      <c r="M8" s="142"/>
    </row>
    <row r="9" spans="1:13" x14ac:dyDescent="0.4">
      <c r="A9" t="s">
        <v>243</v>
      </c>
      <c r="B9" s="105" t="s">
        <v>244</v>
      </c>
      <c r="C9" s="106" t="s">
        <v>245</v>
      </c>
      <c r="D9" s="106" t="s">
        <v>246</v>
      </c>
      <c r="E9" s="107" t="s">
        <v>247</v>
      </c>
      <c r="F9" s="99" t="s">
        <v>244</v>
      </c>
      <c r="G9" s="61" t="s">
        <v>245</v>
      </c>
      <c r="H9" s="61" t="s">
        <v>246</v>
      </c>
      <c r="I9" s="100" t="s">
        <v>247</v>
      </c>
      <c r="J9" s="105" t="s">
        <v>244</v>
      </c>
      <c r="K9" s="106" t="s">
        <v>245</v>
      </c>
      <c r="L9" s="106" t="s">
        <v>246</v>
      </c>
      <c r="M9" s="107" t="s">
        <v>247</v>
      </c>
    </row>
    <row r="10" spans="1:13" x14ac:dyDescent="0.4">
      <c r="A10" s="125">
        <v>45901</v>
      </c>
      <c r="B10" s="108">
        <v>0</v>
      </c>
      <c r="C10" s="109">
        <f>B10</f>
        <v>0</v>
      </c>
      <c r="D10" s="110">
        <f t="shared" ref="D10:D16" si="0">B10*$B$2</f>
        <v>0</v>
      </c>
      <c r="E10" s="111">
        <f>D10</f>
        <v>0</v>
      </c>
      <c r="F10" s="101">
        <v>0</v>
      </c>
      <c r="G10" s="102">
        <f>F10</f>
        <v>0</v>
      </c>
      <c r="H10" s="95">
        <f>F10*$B$3</f>
        <v>0</v>
      </c>
      <c r="I10" s="96">
        <f>H10</f>
        <v>0</v>
      </c>
      <c r="J10" s="108">
        <f>L10/$M$28</f>
        <v>0</v>
      </c>
      <c r="K10" s="109">
        <f>J10</f>
        <v>0</v>
      </c>
      <c r="L10" s="110">
        <f>D10+H10</f>
        <v>0</v>
      </c>
      <c r="M10" s="111">
        <f>L10</f>
        <v>0</v>
      </c>
    </row>
    <row r="11" spans="1:13" x14ac:dyDescent="0.4">
      <c r="A11" s="125">
        <v>45931</v>
      </c>
      <c r="B11" s="108">
        <v>0</v>
      </c>
      <c r="C11" s="109">
        <f>C10+B11</f>
        <v>0</v>
      </c>
      <c r="D11" s="110">
        <f t="shared" si="0"/>
        <v>0</v>
      </c>
      <c r="E11" s="111">
        <f>E10+D11</f>
        <v>0</v>
      </c>
      <c r="F11" s="101">
        <v>0</v>
      </c>
      <c r="G11" s="102">
        <f>G10+F11</f>
        <v>0</v>
      </c>
      <c r="H11" s="95">
        <f t="shared" ref="H11" si="1">F11*$B$3</f>
        <v>0</v>
      </c>
      <c r="I11" s="96">
        <f>I10+H11</f>
        <v>0</v>
      </c>
      <c r="J11" s="108">
        <f t="shared" ref="J11:J28" si="2">L11/$M$28</f>
        <v>0</v>
      </c>
      <c r="K11" s="109">
        <f>K10+J11</f>
        <v>0</v>
      </c>
      <c r="L11" s="110">
        <f>D11+H11</f>
        <v>0</v>
      </c>
      <c r="M11" s="111">
        <f>M10+L11</f>
        <v>0</v>
      </c>
    </row>
    <row r="12" spans="1:13" x14ac:dyDescent="0.4">
      <c r="A12" s="125">
        <v>45962</v>
      </c>
      <c r="B12" s="108">
        <v>0</v>
      </c>
      <c r="C12" s="109">
        <f t="shared" ref="C12:C28" si="3">C11+B12</f>
        <v>0</v>
      </c>
      <c r="D12" s="110">
        <f t="shared" si="0"/>
        <v>0</v>
      </c>
      <c r="E12" s="111">
        <f t="shared" ref="E12:E28" si="4">E11+D12</f>
        <v>0</v>
      </c>
      <c r="F12" s="101">
        <v>0</v>
      </c>
      <c r="G12" s="102">
        <f t="shared" ref="G12:G28" si="5">G11+F12</f>
        <v>0</v>
      </c>
      <c r="H12" s="95">
        <f t="shared" ref="H12:H28" si="6">F12*$B$3</f>
        <v>0</v>
      </c>
      <c r="I12" s="96">
        <f t="shared" ref="I12:I28" si="7">I11+H12</f>
        <v>0</v>
      </c>
      <c r="J12" s="108">
        <f t="shared" si="2"/>
        <v>0</v>
      </c>
      <c r="K12" s="109">
        <f t="shared" ref="K12:K28" si="8">K11+J12</f>
        <v>0</v>
      </c>
      <c r="L12" s="110">
        <f>D12+H12</f>
        <v>0</v>
      </c>
      <c r="M12" s="111">
        <f t="shared" ref="M12:M28" si="9">M11+L12</f>
        <v>0</v>
      </c>
    </row>
    <row r="13" spans="1:13" x14ac:dyDescent="0.4">
      <c r="A13" s="125">
        <v>45992</v>
      </c>
      <c r="B13" s="108">
        <v>0</v>
      </c>
      <c r="C13" s="109">
        <f t="shared" si="3"/>
        <v>0</v>
      </c>
      <c r="D13" s="110">
        <f t="shared" si="0"/>
        <v>0</v>
      </c>
      <c r="E13" s="111">
        <f t="shared" si="4"/>
        <v>0</v>
      </c>
      <c r="F13" s="101">
        <v>0</v>
      </c>
      <c r="G13" s="102">
        <f t="shared" si="5"/>
        <v>0</v>
      </c>
      <c r="H13" s="95">
        <f t="shared" si="6"/>
        <v>0</v>
      </c>
      <c r="I13" s="96">
        <f t="shared" si="7"/>
        <v>0</v>
      </c>
      <c r="J13" s="108">
        <f t="shared" si="2"/>
        <v>0</v>
      </c>
      <c r="K13" s="109">
        <f t="shared" si="8"/>
        <v>0</v>
      </c>
      <c r="L13" s="110">
        <f>D13+H13</f>
        <v>0</v>
      </c>
      <c r="M13" s="111">
        <f t="shared" si="9"/>
        <v>0</v>
      </c>
    </row>
    <row r="14" spans="1:13" x14ac:dyDescent="0.4">
      <c r="A14" s="125">
        <v>46023</v>
      </c>
      <c r="B14" s="108">
        <v>0.06</v>
      </c>
      <c r="C14" s="109">
        <f t="shared" si="3"/>
        <v>0.06</v>
      </c>
      <c r="D14" s="110">
        <f t="shared" si="0"/>
        <v>58620</v>
      </c>
      <c r="E14" s="111">
        <f t="shared" si="4"/>
        <v>58620</v>
      </c>
      <c r="F14" s="101">
        <v>0.04</v>
      </c>
      <c r="G14" s="102">
        <f t="shared" si="5"/>
        <v>0.04</v>
      </c>
      <c r="H14" s="95">
        <f t="shared" si="6"/>
        <v>24760</v>
      </c>
      <c r="I14" s="96">
        <f t="shared" si="7"/>
        <v>24760</v>
      </c>
      <c r="J14" s="108">
        <f t="shared" si="2"/>
        <v>5.2243107769423577E-2</v>
      </c>
      <c r="K14" s="109">
        <f t="shared" si="8"/>
        <v>5.2243107769423577E-2</v>
      </c>
      <c r="L14" s="110">
        <f t="shared" ref="L14:L28" si="10">D14+H14</f>
        <v>83380</v>
      </c>
      <c r="M14" s="111">
        <f t="shared" si="9"/>
        <v>83380</v>
      </c>
    </row>
    <row r="15" spans="1:13" x14ac:dyDescent="0.4">
      <c r="A15" s="125">
        <v>46054</v>
      </c>
      <c r="B15" s="108">
        <v>0.08</v>
      </c>
      <c r="C15" s="109">
        <f t="shared" si="3"/>
        <v>0.14000000000000001</v>
      </c>
      <c r="D15" s="110">
        <f t="shared" si="0"/>
        <v>78160</v>
      </c>
      <c r="E15" s="111">
        <f t="shared" si="4"/>
        <v>136780</v>
      </c>
      <c r="F15" s="101">
        <v>0.05</v>
      </c>
      <c r="G15" s="102">
        <f t="shared" si="5"/>
        <v>0.09</v>
      </c>
      <c r="H15" s="95">
        <f t="shared" si="6"/>
        <v>30950</v>
      </c>
      <c r="I15" s="96">
        <f t="shared" si="7"/>
        <v>55710</v>
      </c>
      <c r="J15" s="108">
        <f t="shared" si="2"/>
        <v>6.8364661654135364E-2</v>
      </c>
      <c r="K15" s="109">
        <f t="shared" si="8"/>
        <v>0.12060776942355894</v>
      </c>
      <c r="L15" s="110">
        <f t="shared" si="10"/>
        <v>109110</v>
      </c>
      <c r="M15" s="111">
        <f t="shared" si="9"/>
        <v>192490</v>
      </c>
    </row>
    <row r="16" spans="1:13" x14ac:dyDescent="0.4">
      <c r="A16" s="125">
        <v>46082</v>
      </c>
      <c r="B16" s="108">
        <v>0.09</v>
      </c>
      <c r="C16" s="109">
        <f t="shared" si="3"/>
        <v>0.23</v>
      </c>
      <c r="D16" s="110">
        <f t="shared" si="0"/>
        <v>87930</v>
      </c>
      <c r="E16" s="111">
        <f t="shared" si="4"/>
        <v>224710</v>
      </c>
      <c r="F16" s="101">
        <v>7.0000000000000007E-2</v>
      </c>
      <c r="G16" s="102">
        <f t="shared" si="5"/>
        <v>0.16</v>
      </c>
      <c r="H16" s="95">
        <f t="shared" si="6"/>
        <v>43330.000000000007</v>
      </c>
      <c r="I16" s="96">
        <f t="shared" si="7"/>
        <v>99040</v>
      </c>
      <c r="J16" s="108">
        <f t="shared" si="2"/>
        <v>8.2243107769423576E-2</v>
      </c>
      <c r="K16" s="109">
        <f t="shared" si="8"/>
        <v>0.2028508771929825</v>
      </c>
      <c r="L16" s="110">
        <f t="shared" si="10"/>
        <v>131260</v>
      </c>
      <c r="M16" s="111">
        <f t="shared" si="9"/>
        <v>323750</v>
      </c>
    </row>
    <row r="17" spans="1:13" x14ac:dyDescent="0.4">
      <c r="A17" s="125">
        <v>46113</v>
      </c>
      <c r="B17" s="108">
        <v>0.09</v>
      </c>
      <c r="C17" s="109">
        <f t="shared" si="3"/>
        <v>0.32</v>
      </c>
      <c r="D17" s="110">
        <f t="shared" ref="D17:D28" si="11">B17*$B$2</f>
        <v>87930</v>
      </c>
      <c r="E17" s="111">
        <f t="shared" si="4"/>
        <v>312640</v>
      </c>
      <c r="F17" s="101">
        <v>0.08</v>
      </c>
      <c r="G17" s="102">
        <f t="shared" si="5"/>
        <v>0.24</v>
      </c>
      <c r="H17" s="95">
        <f t="shared" si="6"/>
        <v>49520</v>
      </c>
      <c r="I17" s="96">
        <f t="shared" si="7"/>
        <v>148560</v>
      </c>
      <c r="J17" s="108">
        <f t="shared" si="2"/>
        <v>8.6121553884711807E-2</v>
      </c>
      <c r="K17" s="109">
        <f t="shared" si="8"/>
        <v>0.28897243107769433</v>
      </c>
      <c r="L17" s="110">
        <f t="shared" si="10"/>
        <v>137450</v>
      </c>
      <c r="M17" s="111">
        <f t="shared" si="9"/>
        <v>461200</v>
      </c>
    </row>
    <row r="18" spans="1:13" x14ac:dyDescent="0.4">
      <c r="A18" s="125">
        <v>46143</v>
      </c>
      <c r="B18" s="108">
        <v>0.09</v>
      </c>
      <c r="C18" s="109">
        <f t="shared" si="3"/>
        <v>0.41000000000000003</v>
      </c>
      <c r="D18" s="110">
        <f t="shared" si="11"/>
        <v>87930</v>
      </c>
      <c r="E18" s="111">
        <f t="shared" si="4"/>
        <v>400570</v>
      </c>
      <c r="F18" s="101">
        <v>0.08</v>
      </c>
      <c r="G18" s="102">
        <f t="shared" si="5"/>
        <v>0.32</v>
      </c>
      <c r="H18" s="95">
        <f t="shared" si="6"/>
        <v>49520</v>
      </c>
      <c r="I18" s="96">
        <f t="shared" si="7"/>
        <v>198080</v>
      </c>
      <c r="J18" s="108">
        <f t="shared" si="2"/>
        <v>8.6121553884711807E-2</v>
      </c>
      <c r="K18" s="109">
        <f t="shared" si="8"/>
        <v>0.37509398496240615</v>
      </c>
      <c r="L18" s="110">
        <f t="shared" si="10"/>
        <v>137450</v>
      </c>
      <c r="M18" s="111">
        <f t="shared" si="9"/>
        <v>598650</v>
      </c>
    </row>
    <row r="19" spans="1:13" x14ac:dyDescent="0.4">
      <c r="A19" s="125">
        <v>46174</v>
      </c>
      <c r="B19" s="108">
        <v>0.09</v>
      </c>
      <c r="C19" s="109">
        <f t="shared" si="3"/>
        <v>0.5</v>
      </c>
      <c r="D19" s="110">
        <f t="shared" si="11"/>
        <v>87930</v>
      </c>
      <c r="E19" s="111">
        <f t="shared" si="4"/>
        <v>488500</v>
      </c>
      <c r="F19" s="101">
        <v>0.08</v>
      </c>
      <c r="G19" s="102">
        <f t="shared" si="5"/>
        <v>0.4</v>
      </c>
      <c r="H19" s="95">
        <f t="shared" si="6"/>
        <v>49520</v>
      </c>
      <c r="I19" s="96">
        <f t="shared" si="7"/>
        <v>247600</v>
      </c>
      <c r="J19" s="108">
        <f t="shared" si="2"/>
        <v>8.6121553884711807E-2</v>
      </c>
      <c r="K19" s="109">
        <f t="shared" si="8"/>
        <v>0.46121553884711797</v>
      </c>
      <c r="L19" s="110">
        <f t="shared" si="10"/>
        <v>137450</v>
      </c>
      <c r="M19" s="111">
        <f t="shared" si="9"/>
        <v>736100</v>
      </c>
    </row>
    <row r="20" spans="1:13" x14ac:dyDescent="0.4">
      <c r="A20" s="125">
        <v>46204</v>
      </c>
      <c r="B20" s="108">
        <v>0.08</v>
      </c>
      <c r="C20" s="109">
        <f t="shared" si="3"/>
        <v>0.57999999999999996</v>
      </c>
      <c r="D20" s="110">
        <f t="shared" si="11"/>
        <v>78160</v>
      </c>
      <c r="E20" s="111">
        <f t="shared" si="4"/>
        <v>566660</v>
      </c>
      <c r="F20" s="101">
        <v>0.08</v>
      </c>
      <c r="G20" s="102">
        <f t="shared" si="5"/>
        <v>0.48000000000000004</v>
      </c>
      <c r="H20" s="95">
        <f t="shared" si="6"/>
        <v>49520</v>
      </c>
      <c r="I20" s="96">
        <f t="shared" si="7"/>
        <v>297120</v>
      </c>
      <c r="J20" s="108">
        <f t="shared" si="2"/>
        <v>8.0000000000000029E-2</v>
      </c>
      <c r="K20" s="109">
        <f t="shared" si="8"/>
        <v>0.54121553884711804</v>
      </c>
      <c r="L20" s="110">
        <f t="shared" si="10"/>
        <v>127680</v>
      </c>
      <c r="M20" s="111">
        <f t="shared" si="9"/>
        <v>863780</v>
      </c>
    </row>
    <row r="21" spans="1:13" x14ac:dyDescent="0.4">
      <c r="A21" s="125">
        <v>46235</v>
      </c>
      <c r="B21" s="108">
        <v>7.0000000000000007E-2</v>
      </c>
      <c r="C21" s="109">
        <f t="shared" si="3"/>
        <v>0.64999999999999991</v>
      </c>
      <c r="D21" s="110">
        <f t="shared" si="11"/>
        <v>68390</v>
      </c>
      <c r="E21" s="111">
        <f t="shared" si="4"/>
        <v>635050</v>
      </c>
      <c r="F21" s="101">
        <v>0.08</v>
      </c>
      <c r="G21" s="102">
        <f t="shared" si="5"/>
        <v>0.56000000000000005</v>
      </c>
      <c r="H21" s="95">
        <f t="shared" si="6"/>
        <v>49520</v>
      </c>
      <c r="I21" s="96">
        <f t="shared" si="7"/>
        <v>346640</v>
      </c>
      <c r="J21" s="108">
        <f t="shared" si="2"/>
        <v>7.3878446115288238E-2</v>
      </c>
      <c r="K21" s="109">
        <f t="shared" si="8"/>
        <v>0.6150939849624063</v>
      </c>
      <c r="L21" s="110">
        <f t="shared" si="10"/>
        <v>117910</v>
      </c>
      <c r="M21" s="111">
        <f t="shared" si="9"/>
        <v>981690</v>
      </c>
    </row>
    <row r="22" spans="1:13" x14ac:dyDescent="0.4">
      <c r="A22" s="125">
        <v>46266</v>
      </c>
      <c r="B22" s="108">
        <v>0.06</v>
      </c>
      <c r="C22" s="109">
        <f t="shared" si="3"/>
        <v>0.71</v>
      </c>
      <c r="D22" s="110">
        <f t="shared" si="11"/>
        <v>58620</v>
      </c>
      <c r="E22" s="111">
        <f t="shared" si="4"/>
        <v>693670</v>
      </c>
      <c r="F22" s="101">
        <v>7.0000000000000007E-2</v>
      </c>
      <c r="G22" s="102">
        <f t="shared" si="5"/>
        <v>0.63000000000000012</v>
      </c>
      <c r="H22" s="95">
        <f t="shared" si="6"/>
        <v>43330.000000000007</v>
      </c>
      <c r="I22" s="96">
        <f t="shared" si="7"/>
        <v>389970</v>
      </c>
      <c r="J22" s="108">
        <f t="shared" si="2"/>
        <v>6.3878446115288243E-2</v>
      </c>
      <c r="K22" s="109">
        <f t="shared" si="8"/>
        <v>0.67897243107769456</v>
      </c>
      <c r="L22" s="110">
        <f t="shared" si="10"/>
        <v>101950</v>
      </c>
      <c r="M22" s="111">
        <f t="shared" si="9"/>
        <v>1083640</v>
      </c>
    </row>
    <row r="23" spans="1:13" x14ac:dyDescent="0.4">
      <c r="A23" s="125">
        <v>46296</v>
      </c>
      <c r="B23" s="108">
        <v>0.06</v>
      </c>
      <c r="C23" s="109">
        <f t="shared" si="3"/>
        <v>0.77</v>
      </c>
      <c r="D23" s="110">
        <f t="shared" si="11"/>
        <v>58620</v>
      </c>
      <c r="E23" s="111">
        <f t="shared" si="4"/>
        <v>752290</v>
      </c>
      <c r="F23" s="101">
        <v>7.0000000000000007E-2</v>
      </c>
      <c r="G23" s="102">
        <f t="shared" si="5"/>
        <v>0.70000000000000018</v>
      </c>
      <c r="H23" s="95">
        <f t="shared" si="6"/>
        <v>43330.000000000007</v>
      </c>
      <c r="I23" s="96">
        <f t="shared" si="7"/>
        <v>433300</v>
      </c>
      <c r="J23" s="108">
        <f t="shared" si="2"/>
        <v>6.3878446115288243E-2</v>
      </c>
      <c r="K23" s="109">
        <f t="shared" si="8"/>
        <v>0.74285087719298282</v>
      </c>
      <c r="L23" s="110">
        <f t="shared" si="10"/>
        <v>101950</v>
      </c>
      <c r="M23" s="111">
        <f t="shared" si="9"/>
        <v>1185590</v>
      </c>
    </row>
    <row r="24" spans="1:13" x14ac:dyDescent="0.4">
      <c r="A24" s="125">
        <v>46327</v>
      </c>
      <c r="B24" s="108">
        <v>0.06</v>
      </c>
      <c r="C24" s="109">
        <f t="shared" si="3"/>
        <v>0.83000000000000007</v>
      </c>
      <c r="D24" s="110">
        <f t="shared" si="11"/>
        <v>58620</v>
      </c>
      <c r="E24" s="111">
        <f t="shared" si="4"/>
        <v>810910</v>
      </c>
      <c r="F24" s="101">
        <v>7.0000000000000007E-2</v>
      </c>
      <c r="G24" s="102">
        <f t="shared" si="5"/>
        <v>0.77000000000000024</v>
      </c>
      <c r="H24" s="95">
        <f t="shared" si="6"/>
        <v>43330.000000000007</v>
      </c>
      <c r="I24" s="96">
        <f t="shared" si="7"/>
        <v>476630</v>
      </c>
      <c r="J24" s="108">
        <f t="shared" si="2"/>
        <v>6.3878446115288243E-2</v>
      </c>
      <c r="K24" s="109">
        <f t="shared" si="8"/>
        <v>0.80672932330827107</v>
      </c>
      <c r="L24" s="110">
        <f t="shared" si="10"/>
        <v>101950</v>
      </c>
      <c r="M24" s="111">
        <f t="shared" si="9"/>
        <v>1287540</v>
      </c>
    </row>
    <row r="25" spans="1:13" x14ac:dyDescent="0.4">
      <c r="A25" s="125">
        <v>46357</v>
      </c>
      <c r="B25" s="108">
        <v>0.05</v>
      </c>
      <c r="C25" s="109">
        <f t="shared" si="3"/>
        <v>0.88000000000000012</v>
      </c>
      <c r="D25" s="110">
        <f t="shared" si="11"/>
        <v>48850</v>
      </c>
      <c r="E25" s="111">
        <f t="shared" si="4"/>
        <v>859760</v>
      </c>
      <c r="F25" s="101">
        <v>7.0000000000000007E-2</v>
      </c>
      <c r="G25" s="102">
        <f t="shared" si="5"/>
        <v>0.8400000000000003</v>
      </c>
      <c r="H25" s="95">
        <f t="shared" si="6"/>
        <v>43330.000000000007</v>
      </c>
      <c r="I25" s="96">
        <f t="shared" si="7"/>
        <v>519960</v>
      </c>
      <c r="J25" s="108">
        <f t="shared" si="2"/>
        <v>5.7756892230576458E-2</v>
      </c>
      <c r="K25" s="109">
        <f t="shared" si="8"/>
        <v>0.86448621553884752</v>
      </c>
      <c r="L25" s="110">
        <f t="shared" si="10"/>
        <v>92180</v>
      </c>
      <c r="M25" s="111">
        <f t="shared" si="9"/>
        <v>1379720</v>
      </c>
    </row>
    <row r="26" spans="1:13" x14ac:dyDescent="0.4">
      <c r="A26" s="125">
        <v>46388</v>
      </c>
      <c r="B26" s="108">
        <v>0.05</v>
      </c>
      <c r="C26" s="109">
        <f t="shared" si="3"/>
        <v>0.93000000000000016</v>
      </c>
      <c r="D26" s="110">
        <f t="shared" si="11"/>
        <v>48850</v>
      </c>
      <c r="E26" s="111">
        <f t="shared" si="4"/>
        <v>908610</v>
      </c>
      <c r="F26" s="101">
        <v>0.06</v>
      </c>
      <c r="G26" s="102">
        <f t="shared" si="5"/>
        <v>0.90000000000000036</v>
      </c>
      <c r="H26" s="95">
        <f t="shared" si="6"/>
        <v>37140</v>
      </c>
      <c r="I26" s="96">
        <f t="shared" si="7"/>
        <v>557100</v>
      </c>
      <c r="J26" s="108">
        <f t="shared" si="2"/>
        <v>5.3878446115288234E-2</v>
      </c>
      <c r="K26" s="109">
        <f t="shared" si="8"/>
        <v>0.91836466165413577</v>
      </c>
      <c r="L26" s="110">
        <f t="shared" si="10"/>
        <v>85990</v>
      </c>
      <c r="M26" s="111">
        <f t="shared" si="9"/>
        <v>1465710</v>
      </c>
    </row>
    <row r="27" spans="1:13" x14ac:dyDescent="0.4">
      <c r="A27" s="125">
        <v>46419</v>
      </c>
      <c r="B27" s="108">
        <v>0.04</v>
      </c>
      <c r="C27" s="109">
        <f t="shared" si="3"/>
        <v>0.9700000000000002</v>
      </c>
      <c r="D27" s="110">
        <f t="shared" si="11"/>
        <v>39080</v>
      </c>
      <c r="E27" s="111">
        <f t="shared" si="4"/>
        <v>947690</v>
      </c>
      <c r="F27" s="101">
        <v>0.05</v>
      </c>
      <c r="G27" s="102">
        <f t="shared" si="5"/>
        <v>0.9500000000000004</v>
      </c>
      <c r="H27" s="95">
        <f t="shared" si="6"/>
        <v>30950</v>
      </c>
      <c r="I27" s="96">
        <f t="shared" si="7"/>
        <v>588050</v>
      </c>
      <c r="J27" s="108">
        <f t="shared" si="2"/>
        <v>4.3878446115288232E-2</v>
      </c>
      <c r="K27" s="109">
        <f t="shared" si="8"/>
        <v>0.96224310776942401</v>
      </c>
      <c r="L27" s="110">
        <f t="shared" si="10"/>
        <v>70030</v>
      </c>
      <c r="M27" s="111">
        <f t="shared" si="9"/>
        <v>1535740</v>
      </c>
    </row>
    <row r="28" spans="1:13" x14ac:dyDescent="0.4">
      <c r="A28" s="125">
        <v>46447</v>
      </c>
      <c r="B28" s="112">
        <f>1-C27</f>
        <v>2.9999999999999805E-2</v>
      </c>
      <c r="C28" s="113">
        <f t="shared" si="3"/>
        <v>1</v>
      </c>
      <c r="D28" s="114">
        <f t="shared" si="11"/>
        <v>29309.999999999811</v>
      </c>
      <c r="E28" s="115">
        <f t="shared" si="4"/>
        <v>976999.99999999977</v>
      </c>
      <c r="F28" s="103">
        <f>1-G27</f>
        <v>4.99999999999996E-2</v>
      </c>
      <c r="G28" s="104">
        <f t="shared" si="5"/>
        <v>1</v>
      </c>
      <c r="H28" s="97">
        <f t="shared" si="6"/>
        <v>30949.999999999753</v>
      </c>
      <c r="I28" s="98">
        <f t="shared" si="7"/>
        <v>618999.99999999977</v>
      </c>
      <c r="J28" s="112">
        <f t="shared" si="2"/>
        <v>3.7756892230576176E-2</v>
      </c>
      <c r="K28" s="113">
        <f t="shared" si="8"/>
        <v>1.0000000000000002</v>
      </c>
      <c r="L28" s="114">
        <f t="shared" si="10"/>
        <v>60259.999999999563</v>
      </c>
      <c r="M28" s="115">
        <f t="shared" si="9"/>
        <v>1595999.9999999995</v>
      </c>
    </row>
  </sheetData>
  <mergeCells count="4">
    <mergeCell ref="B8:E8"/>
    <mergeCell ref="F8:I8"/>
    <mergeCell ref="J8:M8"/>
    <mergeCell ref="A7:M7"/>
  </mergeCells>
  <phoneticPr fontId="6" type="noConversion"/>
  <pageMargins left="0.7" right="0.7" top="0.75" bottom="0.75" header="0.3" footer="0.3"/>
  <ignoredErrors>
    <ignoredError sqref="L10:L28 J10:J28 H10:H28 D10 E4 D11:D28 F28"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58"/>
  <sheetViews>
    <sheetView workbookViewId="0">
      <selection activeCell="C14" sqref="C14:F20"/>
    </sheetView>
  </sheetViews>
  <sheetFormatPr defaultRowHeight="13.15" x14ac:dyDescent="0.4"/>
  <cols>
    <col min="1" max="1" width="10.2109375" bestFit="1" customWidth="1"/>
    <col min="2" max="2" width="4.78515625" bestFit="1" customWidth="1"/>
    <col min="3" max="3" width="30.85546875" bestFit="1" customWidth="1"/>
    <col min="4" max="4" width="10.0703125" bestFit="1" customWidth="1"/>
    <col min="5" max="5" width="23.7109375" bestFit="1" customWidth="1"/>
    <col min="6" max="6" width="14.35546875" bestFit="1" customWidth="1"/>
    <col min="7" max="7" width="11.42578125" bestFit="1" customWidth="1"/>
    <col min="8" max="8" width="9.28515625" bestFit="1" customWidth="1"/>
    <col min="9" max="9" width="11.35546875" bestFit="1" customWidth="1"/>
    <col min="10" max="11" width="6.35546875" bestFit="1" customWidth="1"/>
  </cols>
  <sheetData>
    <row r="1" spans="3:6" x14ac:dyDescent="0.4">
      <c r="F1" s="51" t="s">
        <v>3</v>
      </c>
    </row>
    <row r="2" spans="3:6" ht="13.5" customHeight="1" x14ac:dyDescent="0.4">
      <c r="C2" s="61" t="s">
        <v>0</v>
      </c>
      <c r="D2" s="124">
        <v>1</v>
      </c>
      <c r="E2" t="s">
        <v>1</v>
      </c>
      <c r="F2" s="46">
        <v>977000</v>
      </c>
    </row>
    <row r="3" spans="3:6" ht="13.5" customHeight="1" thickBot="1" x14ac:dyDescent="0.45">
      <c r="C3" s="61" t="s">
        <v>0</v>
      </c>
      <c r="D3" s="124">
        <v>2</v>
      </c>
      <c r="E3" t="s">
        <v>2</v>
      </c>
      <c r="F3" s="48">
        <v>619000</v>
      </c>
    </row>
    <row r="4" spans="3:6" ht="13.5" thickTop="1" x14ac:dyDescent="0.4">
      <c r="F4" s="47">
        <f>SUM(F2:F3)</f>
        <v>1596000</v>
      </c>
    </row>
    <row r="5" spans="3:6" x14ac:dyDescent="0.4">
      <c r="F5" s="47"/>
    </row>
    <row r="6" spans="3:6" x14ac:dyDescent="0.4">
      <c r="F6" s="47"/>
    </row>
    <row r="7" spans="3:6" x14ac:dyDescent="0.4">
      <c r="F7" s="51" t="s">
        <v>3</v>
      </c>
    </row>
    <row r="8" spans="3:6" ht="13.5" customHeight="1" x14ac:dyDescent="0.4">
      <c r="C8" s="77" t="s">
        <v>4</v>
      </c>
      <c r="D8" s="124">
        <v>1</v>
      </c>
      <c r="E8" s="49" t="s">
        <v>5</v>
      </c>
      <c r="F8" s="46">
        <v>695000</v>
      </c>
    </row>
    <row r="9" spans="3:6" ht="13.5" customHeight="1" thickBot="1" x14ac:dyDescent="0.45">
      <c r="C9" s="77" t="s">
        <v>4</v>
      </c>
      <c r="D9" s="124">
        <v>2</v>
      </c>
      <c r="E9" s="49" t="s">
        <v>6</v>
      </c>
      <c r="F9" s="48">
        <v>110875</v>
      </c>
    </row>
    <row r="10" spans="3:6" ht="13.5" thickTop="1" x14ac:dyDescent="0.4">
      <c r="F10" s="46">
        <f>F8+F9</f>
        <v>805875</v>
      </c>
    </row>
    <row r="12" spans="3:6" ht="13.9" customHeight="1" x14ac:dyDescent="0.4">
      <c r="C12" s="152" t="s">
        <v>7</v>
      </c>
      <c r="D12" s="153"/>
      <c r="E12" s="153"/>
      <c r="F12" s="154"/>
    </row>
    <row r="13" spans="3:6" x14ac:dyDescent="0.4">
      <c r="C13" s="57"/>
      <c r="D13" s="49" t="s">
        <v>8</v>
      </c>
      <c r="E13" s="49" t="s">
        <v>9</v>
      </c>
      <c r="F13" s="116" t="s">
        <v>10</v>
      </c>
    </row>
    <row r="14" spans="3:6" ht="14.25" customHeight="1" x14ac:dyDescent="0.45">
      <c r="C14" s="117" t="s">
        <v>11</v>
      </c>
      <c r="D14" s="79">
        <v>0.1</v>
      </c>
      <c r="E14" s="80">
        <v>1</v>
      </c>
      <c r="F14" s="118">
        <f t="shared" ref="F14:F20" si="0">D14*E14</f>
        <v>0.1</v>
      </c>
    </row>
    <row r="15" spans="3:6" ht="14.25" customHeight="1" x14ac:dyDescent="0.45">
      <c r="C15" s="117" t="s">
        <v>12</v>
      </c>
      <c r="D15" s="79">
        <v>0.15</v>
      </c>
      <c r="E15" s="80">
        <f>1/7</f>
        <v>0.14285714285714285</v>
      </c>
      <c r="F15" s="118">
        <f t="shared" si="0"/>
        <v>2.1428571428571425E-2</v>
      </c>
    </row>
    <row r="16" spans="3:6" ht="14.25" customHeight="1" x14ac:dyDescent="0.45">
      <c r="C16" s="117" t="s">
        <v>13</v>
      </c>
      <c r="D16" s="79">
        <v>0.2</v>
      </c>
      <c r="E16" s="80">
        <v>0</v>
      </c>
      <c r="F16" s="118">
        <f t="shared" si="0"/>
        <v>0</v>
      </c>
    </row>
    <row r="17" spans="3:6" ht="14.25" customHeight="1" x14ac:dyDescent="0.45">
      <c r="C17" s="117" t="s">
        <v>14</v>
      </c>
      <c r="D17" s="79">
        <v>0.2</v>
      </c>
      <c r="E17" s="80">
        <f>38/BOM!E11</f>
        <v>0.20105820105820105</v>
      </c>
      <c r="F17" s="118">
        <f t="shared" si="0"/>
        <v>4.0211640211640212E-2</v>
      </c>
    </row>
    <row r="18" spans="3:6" ht="14.25" customHeight="1" x14ac:dyDescent="0.45">
      <c r="C18" s="117" t="s">
        <v>15</v>
      </c>
      <c r="D18" s="79">
        <v>0.15</v>
      </c>
      <c r="E18" s="80">
        <v>0.25</v>
      </c>
      <c r="F18" s="118">
        <f t="shared" si="0"/>
        <v>3.7499999999999999E-2</v>
      </c>
    </row>
    <row r="19" spans="3:6" ht="14.25" customHeight="1" x14ac:dyDescent="0.45">
      <c r="C19" s="117" t="s">
        <v>16</v>
      </c>
      <c r="D19" s="79">
        <v>0.1</v>
      </c>
      <c r="E19" s="80">
        <v>0.05</v>
      </c>
      <c r="F19" s="118">
        <f t="shared" si="0"/>
        <v>5.000000000000001E-3</v>
      </c>
    </row>
    <row r="20" spans="3:6" ht="14.25" customHeight="1" x14ac:dyDescent="0.45">
      <c r="C20" s="117" t="s">
        <v>17</v>
      </c>
      <c r="D20" s="79">
        <v>0.1</v>
      </c>
      <c r="E20" s="80">
        <v>0</v>
      </c>
      <c r="F20" s="118">
        <f t="shared" si="0"/>
        <v>0</v>
      </c>
    </row>
    <row r="21" spans="3:6" ht="14.25" x14ac:dyDescent="0.45">
      <c r="C21" s="117"/>
      <c r="D21" s="79"/>
      <c r="F21" s="119">
        <f>SUM(F14:F20)</f>
        <v>0.20414021164021165</v>
      </c>
    </row>
    <row r="22" spans="3:6" x14ac:dyDescent="0.4">
      <c r="C22" s="57"/>
      <c r="F22" s="55"/>
    </row>
    <row r="23" spans="3:6" ht="13.9" customHeight="1" x14ac:dyDescent="0.4">
      <c r="C23" s="155" t="s">
        <v>30</v>
      </c>
      <c r="D23" s="156"/>
      <c r="E23" s="156"/>
      <c r="F23" s="157"/>
    </row>
    <row r="24" spans="3:6" x14ac:dyDescent="0.4">
      <c r="C24" s="57"/>
      <c r="D24" s="77" t="s">
        <v>31</v>
      </c>
      <c r="E24" s="49" t="s">
        <v>8</v>
      </c>
      <c r="F24" s="116" t="s">
        <v>20</v>
      </c>
    </row>
    <row r="25" spans="3:6" ht="14.25" customHeight="1" x14ac:dyDescent="0.45">
      <c r="C25" s="117" t="s">
        <v>234</v>
      </c>
      <c r="D25" s="81">
        <f>BOM!J28</f>
        <v>0.99999999999999989</v>
      </c>
      <c r="E25" s="79">
        <v>0.85</v>
      </c>
      <c r="F25" s="120">
        <f>IF(D25="",0,D25*E25)</f>
        <v>0.84999999999999987</v>
      </c>
    </row>
    <row r="26" spans="3:6" ht="14.25" customHeight="1" x14ac:dyDescent="0.45">
      <c r="C26" s="117" t="s">
        <v>235</v>
      </c>
      <c r="D26" s="80">
        <v>0.8</v>
      </c>
      <c r="E26" s="79">
        <f>1-E25</f>
        <v>0.15000000000000002</v>
      </c>
      <c r="F26" s="120">
        <f>IF(D26="",0,D26*E26)</f>
        <v>0.12000000000000002</v>
      </c>
    </row>
    <row r="27" spans="3:6" ht="14.25" x14ac:dyDescent="0.45">
      <c r="C27" s="57"/>
      <c r="F27" s="121">
        <f>SUM(F25:F26)</f>
        <v>0.96999999999999986</v>
      </c>
    </row>
    <row r="28" spans="3:6" x14ac:dyDescent="0.4">
      <c r="C28" s="57"/>
      <c r="F28" s="55"/>
    </row>
    <row r="29" spans="3:6" x14ac:dyDescent="0.4">
      <c r="C29" s="57"/>
      <c r="E29" s="61" t="s">
        <v>8</v>
      </c>
      <c r="F29" s="100" t="s">
        <v>20</v>
      </c>
    </row>
    <row r="30" spans="3:6" x14ac:dyDescent="0.4">
      <c r="C30" s="57"/>
      <c r="D30" t="s">
        <v>140</v>
      </c>
      <c r="E30" s="79">
        <v>0.3</v>
      </c>
      <c r="F30" s="122">
        <f>F21*E30</f>
        <v>6.1242063492063493E-2</v>
      </c>
    </row>
    <row r="31" spans="3:6" x14ac:dyDescent="0.4">
      <c r="C31" s="57"/>
      <c r="D31" t="s">
        <v>141</v>
      </c>
      <c r="E31" s="79">
        <f>1-E30</f>
        <v>0.7</v>
      </c>
      <c r="F31" s="122">
        <f>F27*E31</f>
        <v>0.67899999999999983</v>
      </c>
    </row>
    <row r="32" spans="3:6" ht="14.25" x14ac:dyDescent="0.45">
      <c r="C32" s="56"/>
      <c r="D32" s="159" t="s">
        <v>138</v>
      </c>
      <c r="E32" s="160"/>
      <c r="F32" s="123">
        <f>MIN(1,(F30+F31))</f>
        <v>0.74024206349206334</v>
      </c>
    </row>
    <row r="33" spans="3:11" ht="13.5" thickBot="1" x14ac:dyDescent="0.45"/>
    <row r="34" spans="3:11" ht="13.9" customHeight="1" x14ac:dyDescent="0.4">
      <c r="C34" s="149" t="s">
        <v>18</v>
      </c>
      <c r="D34" s="150"/>
      <c r="E34" s="150"/>
      <c r="F34" s="150"/>
      <c r="G34" s="150"/>
      <c r="H34" s="150"/>
      <c r="I34" s="150"/>
      <c r="J34" s="150"/>
      <c r="K34" s="151"/>
    </row>
    <row r="35" spans="3:11" x14ac:dyDescent="0.4">
      <c r="C35" s="54"/>
      <c r="D35" s="49" t="s">
        <v>19</v>
      </c>
      <c r="E35" s="49" t="s">
        <v>238</v>
      </c>
      <c r="F35" s="49" t="s">
        <v>239</v>
      </c>
      <c r="G35" s="49" t="s">
        <v>240</v>
      </c>
      <c r="H35" s="49" t="s">
        <v>241</v>
      </c>
      <c r="I35" s="49" t="s">
        <v>242</v>
      </c>
      <c r="J35" s="49" t="s">
        <v>8</v>
      </c>
      <c r="K35" s="82" t="s">
        <v>20</v>
      </c>
    </row>
    <row r="36" spans="3:11" ht="14.25" customHeight="1" x14ac:dyDescent="0.45">
      <c r="C36" s="78" t="s">
        <v>21</v>
      </c>
      <c r="D36" s="86">
        <f>12+7+1</f>
        <v>20</v>
      </c>
      <c r="E36" s="83">
        <v>9</v>
      </c>
      <c r="F36" s="83">
        <v>0</v>
      </c>
      <c r="G36" s="83">
        <v>0</v>
      </c>
      <c r="H36" s="83">
        <v>0</v>
      </c>
      <c r="I36" s="83">
        <v>0</v>
      </c>
      <c r="J36" s="79">
        <v>0.25</v>
      </c>
      <c r="K36" s="84">
        <f>MIN(J36,((E36/$D36*0.2)+(F36/$D36*0.2)+(G36/$D36*0.25)+(H36/$D36*0.25)+(I36/$D36*0.1))*J36)</f>
        <v>2.2500000000000003E-2</v>
      </c>
    </row>
    <row r="37" spans="3:11" ht="14.25" customHeight="1" x14ac:dyDescent="0.45">
      <c r="C37" s="78" t="s">
        <v>22</v>
      </c>
      <c r="D37" s="86">
        <v>3</v>
      </c>
      <c r="E37" s="83">
        <v>0</v>
      </c>
      <c r="F37" s="83">
        <v>0</v>
      </c>
      <c r="G37" s="83">
        <v>0</v>
      </c>
      <c r="H37" s="83">
        <v>0</v>
      </c>
      <c r="I37" s="83">
        <v>0</v>
      </c>
      <c r="J37" s="79">
        <v>0.06</v>
      </c>
      <c r="K37" s="84">
        <f t="shared" ref="K37:K44" si="1">MIN(J37,((E37/$D37*0.2)+(F37/$D37*0.2)+(G37/$D37*0.25)+(H37/$D37*0.25)+(I37/$D37*0.1))*J37)</f>
        <v>0</v>
      </c>
    </row>
    <row r="38" spans="3:11" ht="14.25" customHeight="1" x14ac:dyDescent="0.45">
      <c r="C38" s="78" t="s">
        <v>23</v>
      </c>
      <c r="D38" s="86">
        <v>3</v>
      </c>
      <c r="E38" s="83">
        <v>0</v>
      </c>
      <c r="F38" s="83">
        <v>0</v>
      </c>
      <c r="G38" s="83">
        <v>0</v>
      </c>
      <c r="H38" s="83">
        <v>0</v>
      </c>
      <c r="I38" s="83">
        <v>0</v>
      </c>
      <c r="J38" s="79">
        <v>0.05</v>
      </c>
      <c r="K38" s="84">
        <f t="shared" si="1"/>
        <v>0</v>
      </c>
    </row>
    <row r="39" spans="3:11" ht="14.25" customHeight="1" x14ac:dyDescent="0.45">
      <c r="C39" s="78" t="s">
        <v>24</v>
      </c>
      <c r="D39" s="86">
        <v>189</v>
      </c>
      <c r="E39" s="83">
        <v>127</v>
      </c>
      <c r="F39" s="83">
        <v>0</v>
      </c>
      <c r="G39" s="83">
        <v>0</v>
      </c>
      <c r="H39" s="83">
        <v>0</v>
      </c>
      <c r="I39" s="83">
        <v>0</v>
      </c>
      <c r="J39" s="79">
        <v>0.35</v>
      </c>
      <c r="K39" s="84">
        <f t="shared" si="1"/>
        <v>4.7037037037037037E-2</v>
      </c>
    </row>
    <row r="40" spans="3:11" ht="14.25" customHeight="1" x14ac:dyDescent="0.45">
      <c r="C40" s="78" t="s">
        <v>25</v>
      </c>
      <c r="D40" s="86">
        <v>7</v>
      </c>
      <c r="E40" s="83">
        <v>0</v>
      </c>
      <c r="F40" s="83">
        <v>0</v>
      </c>
      <c r="G40" s="83">
        <v>0</v>
      </c>
      <c r="H40" s="83">
        <v>0</v>
      </c>
      <c r="I40" s="83">
        <v>0</v>
      </c>
      <c r="J40" s="79">
        <v>0.06</v>
      </c>
      <c r="K40" s="84">
        <f t="shared" si="1"/>
        <v>0</v>
      </c>
    </row>
    <row r="41" spans="3:11" ht="14.25" customHeight="1" x14ac:dyDescent="0.45">
      <c r="C41" s="78" t="s">
        <v>26</v>
      </c>
      <c r="D41" s="86">
        <v>3</v>
      </c>
      <c r="E41" s="83">
        <v>0</v>
      </c>
      <c r="F41" s="83">
        <v>0</v>
      </c>
      <c r="G41" s="83">
        <v>0</v>
      </c>
      <c r="H41" s="83">
        <v>0</v>
      </c>
      <c r="I41" s="83">
        <v>0</v>
      </c>
      <c r="J41" s="79">
        <v>0.1</v>
      </c>
      <c r="K41" s="84">
        <f t="shared" si="1"/>
        <v>0</v>
      </c>
    </row>
    <row r="42" spans="3:11" ht="14.25" customHeight="1" x14ac:dyDescent="0.45">
      <c r="C42" s="78" t="s">
        <v>27</v>
      </c>
      <c r="D42" s="86">
        <f>11+5+2+13</f>
        <v>31</v>
      </c>
      <c r="E42" s="83">
        <v>0</v>
      </c>
      <c r="F42" s="83">
        <v>0</v>
      </c>
      <c r="G42" s="83">
        <v>0</v>
      </c>
      <c r="H42" s="83">
        <v>0</v>
      </c>
      <c r="I42" s="83">
        <v>0</v>
      </c>
      <c r="J42" s="79">
        <v>0.08</v>
      </c>
      <c r="K42" s="84">
        <f t="shared" si="1"/>
        <v>0</v>
      </c>
    </row>
    <row r="43" spans="3:11" ht="14.25" customHeight="1" x14ac:dyDescent="0.45">
      <c r="C43" s="78" t="s">
        <v>28</v>
      </c>
      <c r="D43" s="86">
        <v>15</v>
      </c>
      <c r="E43" s="83">
        <v>1</v>
      </c>
      <c r="F43" s="83">
        <v>0</v>
      </c>
      <c r="G43" s="83">
        <v>0</v>
      </c>
      <c r="H43" s="83">
        <v>0</v>
      </c>
      <c r="I43" s="83">
        <v>0</v>
      </c>
      <c r="J43" s="79">
        <v>0.04</v>
      </c>
      <c r="K43" s="84">
        <f t="shared" si="1"/>
        <v>5.3333333333333336E-4</v>
      </c>
    </row>
    <row r="44" spans="3:11" ht="14.25" customHeight="1" x14ac:dyDescent="0.45">
      <c r="C44" s="78" t="s">
        <v>29</v>
      </c>
      <c r="D44" s="86">
        <v>1</v>
      </c>
      <c r="E44" s="83">
        <v>0</v>
      </c>
      <c r="F44" s="83">
        <v>0</v>
      </c>
      <c r="G44" s="83">
        <v>0</v>
      </c>
      <c r="H44" s="83">
        <v>0</v>
      </c>
      <c r="I44" s="83">
        <v>0</v>
      </c>
      <c r="J44" s="79">
        <v>0.01</v>
      </c>
      <c r="K44" s="84">
        <f t="shared" si="1"/>
        <v>0</v>
      </c>
    </row>
    <row r="45" spans="3:11" ht="14.65" thickBot="1" x14ac:dyDescent="0.5">
      <c r="C45" s="58"/>
      <c r="D45" s="53"/>
      <c r="E45" s="53"/>
      <c r="F45" s="53"/>
      <c r="G45" s="53"/>
      <c r="H45" s="147" t="s">
        <v>139</v>
      </c>
      <c r="I45" s="147"/>
      <c r="J45" s="148"/>
      <c r="K45" s="85">
        <f>SUM(K36:K44)</f>
        <v>7.0070370370370366E-2</v>
      </c>
    </row>
    <row r="48" spans="3:11" ht="13.9" customHeight="1" x14ac:dyDescent="0.4">
      <c r="C48" s="156" t="s">
        <v>32</v>
      </c>
      <c r="D48" s="158"/>
      <c r="E48" s="158"/>
      <c r="F48" s="158"/>
      <c r="G48" s="158"/>
    </row>
    <row r="49" spans="3:4" x14ac:dyDescent="0.4">
      <c r="C49" t="s">
        <v>33</v>
      </c>
      <c r="D49" s="46">
        <v>695000</v>
      </c>
    </row>
    <row r="50" spans="3:4" ht="14.25" customHeight="1" x14ac:dyDescent="0.45">
      <c r="C50" t="s">
        <v>34</v>
      </c>
      <c r="D50" s="52">
        <v>278100</v>
      </c>
    </row>
    <row r="51" spans="3:4" ht="14.25" customHeight="1" x14ac:dyDescent="0.45">
      <c r="C51" t="s">
        <v>35</v>
      </c>
      <c r="D51" s="52">
        <v>139050</v>
      </c>
    </row>
    <row r="52" spans="3:4" x14ac:dyDescent="0.4">
      <c r="C52" t="s">
        <v>36</v>
      </c>
      <c r="D52" s="46">
        <f>D49-IF(D51="",0,D51)</f>
        <v>555950</v>
      </c>
    </row>
    <row r="54" spans="3:4" x14ac:dyDescent="0.4">
      <c r="C54" t="s">
        <v>37</v>
      </c>
      <c r="D54" t="s">
        <v>38</v>
      </c>
    </row>
    <row r="55" spans="3:4" x14ac:dyDescent="0.4">
      <c r="C55" t="s">
        <v>39</v>
      </c>
      <c r="D55" s="46">
        <v>110875</v>
      </c>
    </row>
    <row r="56" spans="3:4" ht="14.25" customHeight="1" x14ac:dyDescent="0.45">
      <c r="C56" t="s">
        <v>40</v>
      </c>
      <c r="D56" s="52">
        <v>1579.86</v>
      </c>
    </row>
    <row r="57" spans="3:4" ht="14.25" customHeight="1" x14ac:dyDescent="0.45">
      <c r="C57" t="s">
        <v>41</v>
      </c>
      <c r="D57" s="52"/>
    </row>
    <row r="58" spans="3:4" x14ac:dyDescent="0.4">
      <c r="C58" t="s">
        <v>42</v>
      </c>
      <c r="D58" s="46">
        <f>D55-D57</f>
        <v>110875</v>
      </c>
    </row>
  </sheetData>
  <mergeCells count="6">
    <mergeCell ref="H45:J45"/>
    <mergeCell ref="C34:K34"/>
    <mergeCell ref="C12:F12"/>
    <mergeCell ref="C23:F23"/>
    <mergeCell ref="C48:G48"/>
    <mergeCell ref="D32:E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E98F-7A2D-4F49-A021-628C33AEA8A7}">
  <dimension ref="A1:L28"/>
  <sheetViews>
    <sheetView zoomScale="85" zoomScaleNormal="85" workbookViewId="0">
      <selection activeCell="G19" sqref="G19"/>
    </sheetView>
  </sheetViews>
  <sheetFormatPr defaultRowHeight="13.15" x14ac:dyDescent="0.4"/>
  <cols>
    <col min="1" max="1" width="6.85546875" style="62" customWidth="1"/>
    <col min="2" max="2" width="33.78515625" style="62" customWidth="1"/>
    <col min="3" max="3" width="18.85546875" style="62" bestFit="1" customWidth="1"/>
    <col min="4" max="4" width="21.5" style="62" bestFit="1" customWidth="1"/>
    <col min="5" max="5" width="9.92578125" style="62" bestFit="1" customWidth="1"/>
    <col min="6" max="7" width="10.78515625" style="62" bestFit="1" customWidth="1"/>
    <col min="8" max="8" width="12.5703125" style="62" bestFit="1" customWidth="1"/>
    <col min="9" max="9" width="10.78515625" style="62" bestFit="1" customWidth="1"/>
    <col min="10" max="10" width="9.2109375" style="62" bestFit="1" customWidth="1"/>
    <col min="11" max="11" width="96.85546875" style="62" bestFit="1" customWidth="1"/>
    <col min="12" max="12" width="17.0703125" style="62" bestFit="1" customWidth="1"/>
    <col min="13" max="16384" width="9.140625" style="62"/>
  </cols>
  <sheetData>
    <row r="1" spans="1:12" ht="13.5" customHeight="1" x14ac:dyDescent="0.4">
      <c r="A1" s="129" t="s">
        <v>230</v>
      </c>
      <c r="B1" s="130"/>
      <c r="C1" s="130"/>
      <c r="D1" s="130"/>
      <c r="E1" s="130"/>
      <c r="F1" s="130"/>
      <c r="G1" s="130"/>
      <c r="H1" s="130"/>
      <c r="I1" s="130"/>
      <c r="J1" s="130"/>
      <c r="K1" s="130"/>
      <c r="L1" s="131"/>
    </row>
    <row r="2" spans="1:12" ht="24" customHeight="1" x14ac:dyDescent="0.4">
      <c r="A2" s="65" t="s">
        <v>229</v>
      </c>
      <c r="B2" s="65" t="s">
        <v>228</v>
      </c>
      <c r="C2" s="65" t="s">
        <v>227</v>
      </c>
      <c r="D2" s="65" t="s">
        <v>226</v>
      </c>
      <c r="E2" s="65" t="s">
        <v>262</v>
      </c>
      <c r="F2" s="65" t="s">
        <v>263</v>
      </c>
      <c r="G2" s="71" t="s">
        <v>231</v>
      </c>
      <c r="H2" s="71" t="s">
        <v>232</v>
      </c>
      <c r="I2" s="71" t="s">
        <v>233</v>
      </c>
      <c r="J2" s="71" t="s">
        <v>237</v>
      </c>
      <c r="K2" s="65" t="s">
        <v>225</v>
      </c>
      <c r="L2" s="65" t="s">
        <v>224</v>
      </c>
    </row>
    <row r="3" spans="1:12" ht="13.5" customHeight="1" x14ac:dyDescent="0.35">
      <c r="A3" s="64">
        <v>1</v>
      </c>
      <c r="B3" s="63" t="s">
        <v>223</v>
      </c>
      <c r="C3" s="63" t="s">
        <v>222</v>
      </c>
      <c r="D3" s="63" t="s">
        <v>221</v>
      </c>
      <c r="E3" s="64">
        <v>7</v>
      </c>
      <c r="F3" s="66">
        <v>7</v>
      </c>
      <c r="G3" s="72">
        <v>3007.9</v>
      </c>
      <c r="H3" s="72">
        <f>E3*G3</f>
        <v>21055.3</v>
      </c>
      <c r="I3" s="76">
        <f>IFERROR(MIN(1, F3 / E3), 0)</f>
        <v>1</v>
      </c>
      <c r="J3" s="76">
        <f>IFERROR((H3*I3)/SUM($H$3:$H$26),0)</f>
        <v>3.7445469644685876E-2</v>
      </c>
      <c r="K3" s="69" t="s">
        <v>220</v>
      </c>
      <c r="L3" s="63" t="s">
        <v>162</v>
      </c>
    </row>
    <row r="4" spans="1:12" ht="13.5" customHeight="1" x14ac:dyDescent="0.35">
      <c r="A4" s="64">
        <v>2</v>
      </c>
      <c r="B4" s="63" t="s">
        <v>215</v>
      </c>
      <c r="C4" s="63" t="s">
        <v>214</v>
      </c>
      <c r="D4" s="63" t="s">
        <v>219</v>
      </c>
      <c r="E4" s="64">
        <v>3</v>
      </c>
      <c r="F4" s="66">
        <v>3</v>
      </c>
      <c r="G4" s="72">
        <v>7728.19</v>
      </c>
      <c r="H4" s="72">
        <f t="shared" ref="H4:H26" si="0">E4*G4</f>
        <v>23184.57</v>
      </c>
      <c r="I4" s="76">
        <f t="shared" ref="I4:I26" si="1">IFERROR(MIN(1, F4 / E4), 0)</f>
        <v>1</v>
      </c>
      <c r="J4" s="76">
        <f t="shared" ref="J4:J26" si="2">IFERROR((H4*I4)/SUM($H$3:$H$26),0)</f>
        <v>4.123223664161018E-2</v>
      </c>
      <c r="K4" s="69" t="s">
        <v>218</v>
      </c>
      <c r="L4" s="63" t="s">
        <v>162</v>
      </c>
    </row>
    <row r="5" spans="1:12" ht="13.5" customHeight="1" x14ac:dyDescent="0.35">
      <c r="A5" s="64">
        <v>3</v>
      </c>
      <c r="B5" s="63" t="s">
        <v>215</v>
      </c>
      <c r="C5" s="63" t="s">
        <v>214</v>
      </c>
      <c r="D5" s="63" t="s">
        <v>217</v>
      </c>
      <c r="E5" s="64">
        <v>4</v>
      </c>
      <c r="F5" s="66">
        <v>4</v>
      </c>
      <c r="G5" s="72">
        <v>2616.16</v>
      </c>
      <c r="H5" s="72">
        <f t="shared" si="0"/>
        <v>10464.64</v>
      </c>
      <c r="I5" s="76">
        <f t="shared" si="1"/>
        <v>1</v>
      </c>
      <c r="J5" s="76">
        <f t="shared" si="2"/>
        <v>1.8610675671330526E-2</v>
      </c>
      <c r="K5" s="69" t="s">
        <v>216</v>
      </c>
      <c r="L5" s="63" t="s">
        <v>162</v>
      </c>
    </row>
    <row r="6" spans="1:12" ht="13.5" customHeight="1" x14ac:dyDescent="0.35">
      <c r="A6" s="64">
        <v>4</v>
      </c>
      <c r="B6" s="63" t="s">
        <v>215</v>
      </c>
      <c r="C6" s="63" t="s">
        <v>214</v>
      </c>
      <c r="D6" s="63" t="s">
        <v>213</v>
      </c>
      <c r="E6" s="64">
        <v>4</v>
      </c>
      <c r="F6" s="66">
        <v>4</v>
      </c>
      <c r="G6" s="72">
        <v>1480</v>
      </c>
      <c r="H6" s="72">
        <f t="shared" si="0"/>
        <v>5920</v>
      </c>
      <c r="I6" s="76">
        <f t="shared" si="1"/>
        <v>1</v>
      </c>
      <c r="J6" s="76">
        <f t="shared" si="2"/>
        <v>1.0528331598055616E-2</v>
      </c>
      <c r="K6" s="69" t="s">
        <v>212</v>
      </c>
      <c r="L6" s="63" t="s">
        <v>162</v>
      </c>
    </row>
    <row r="7" spans="1:12" ht="13.5" customHeight="1" x14ac:dyDescent="0.35">
      <c r="A7" s="64">
        <v>5</v>
      </c>
      <c r="B7" s="63" t="s">
        <v>209</v>
      </c>
      <c r="C7" s="63" t="s">
        <v>208</v>
      </c>
      <c r="D7" s="63" t="s">
        <v>211</v>
      </c>
      <c r="E7" s="64">
        <v>3</v>
      </c>
      <c r="F7" s="66">
        <v>3</v>
      </c>
      <c r="G7" s="72">
        <v>1712.5</v>
      </c>
      <c r="H7" s="72">
        <f t="shared" si="0"/>
        <v>5137.5</v>
      </c>
      <c r="I7" s="76">
        <f t="shared" si="1"/>
        <v>1</v>
      </c>
      <c r="J7" s="76">
        <f t="shared" si="2"/>
        <v>9.1367066866572168E-3</v>
      </c>
      <c r="K7" s="69" t="s">
        <v>210</v>
      </c>
      <c r="L7" s="63" t="s">
        <v>162</v>
      </c>
    </row>
    <row r="8" spans="1:12" ht="13.5" customHeight="1" x14ac:dyDescent="0.35">
      <c r="A8" s="64">
        <v>6</v>
      </c>
      <c r="B8" s="63" t="s">
        <v>209</v>
      </c>
      <c r="C8" s="63" t="s">
        <v>208</v>
      </c>
      <c r="D8" s="63" t="s">
        <v>207</v>
      </c>
      <c r="E8" s="64">
        <v>4</v>
      </c>
      <c r="F8" s="66">
        <v>4</v>
      </c>
      <c r="G8" s="72">
        <v>428.15</v>
      </c>
      <c r="H8" s="72">
        <f t="shared" si="0"/>
        <v>1712.6</v>
      </c>
      <c r="I8" s="76">
        <f t="shared" si="1"/>
        <v>1</v>
      </c>
      <c r="J8" s="76">
        <f t="shared" si="2"/>
        <v>3.0457467389915617E-3</v>
      </c>
      <c r="K8" s="69" t="s">
        <v>206</v>
      </c>
      <c r="L8" s="63" t="s">
        <v>162</v>
      </c>
    </row>
    <row r="9" spans="1:12" ht="13.5" customHeight="1" x14ac:dyDescent="0.35">
      <c r="A9" s="64">
        <v>7</v>
      </c>
      <c r="B9" s="63" t="s">
        <v>205</v>
      </c>
      <c r="C9" s="63" t="s">
        <v>199</v>
      </c>
      <c r="D9" s="63" t="s">
        <v>204</v>
      </c>
      <c r="E9" s="64">
        <v>29</v>
      </c>
      <c r="F9" s="66">
        <v>29</v>
      </c>
      <c r="G9" s="72">
        <v>1892.89</v>
      </c>
      <c r="H9" s="72">
        <f t="shared" si="0"/>
        <v>54893.810000000005</v>
      </c>
      <c r="I9" s="76">
        <f t="shared" si="1"/>
        <v>1</v>
      </c>
      <c r="J9" s="76">
        <f t="shared" si="2"/>
        <v>9.7625039587949547E-2</v>
      </c>
      <c r="K9" s="69" t="s">
        <v>203</v>
      </c>
      <c r="L9" s="63" t="s">
        <v>162</v>
      </c>
    </row>
    <row r="10" spans="1:12" ht="13.5" customHeight="1" x14ac:dyDescent="0.35">
      <c r="A10" s="64">
        <v>8</v>
      </c>
      <c r="B10" s="63" t="s">
        <v>200</v>
      </c>
      <c r="C10" s="63" t="s">
        <v>199</v>
      </c>
      <c r="D10" s="63" t="s">
        <v>202</v>
      </c>
      <c r="E10" s="64">
        <v>34</v>
      </c>
      <c r="F10" s="66">
        <v>34</v>
      </c>
      <c r="G10" s="72">
        <v>1185</v>
      </c>
      <c r="H10" s="72">
        <f t="shared" si="0"/>
        <v>40290</v>
      </c>
      <c r="I10" s="76">
        <f t="shared" si="1"/>
        <v>1</v>
      </c>
      <c r="J10" s="76">
        <f t="shared" si="2"/>
        <v>7.1653121636091346E-2</v>
      </c>
      <c r="K10" s="69" t="s">
        <v>201</v>
      </c>
      <c r="L10" s="63" t="s">
        <v>162</v>
      </c>
    </row>
    <row r="11" spans="1:12" ht="13.5" customHeight="1" x14ac:dyDescent="0.35">
      <c r="A11" s="64">
        <v>9</v>
      </c>
      <c r="B11" s="63" t="s">
        <v>200</v>
      </c>
      <c r="C11" s="63" t="s">
        <v>199</v>
      </c>
      <c r="D11" s="63" t="s">
        <v>198</v>
      </c>
      <c r="E11" s="64">
        <v>189</v>
      </c>
      <c r="F11" s="66">
        <v>189</v>
      </c>
      <c r="G11" s="72">
        <v>945</v>
      </c>
      <c r="H11" s="72">
        <f t="shared" si="0"/>
        <v>178605</v>
      </c>
      <c r="I11" s="76">
        <f t="shared" si="1"/>
        <v>1</v>
      </c>
      <c r="J11" s="76">
        <f t="shared" si="2"/>
        <v>0.31763727450518969</v>
      </c>
      <c r="K11" s="69" t="s">
        <v>197</v>
      </c>
      <c r="L11" s="63" t="s">
        <v>162</v>
      </c>
    </row>
    <row r="12" spans="1:12" ht="13.5" customHeight="1" x14ac:dyDescent="0.35">
      <c r="A12" s="64">
        <v>10</v>
      </c>
      <c r="B12" s="63" t="s">
        <v>194</v>
      </c>
      <c r="C12" s="63" t="s">
        <v>193</v>
      </c>
      <c r="D12" s="63" t="s">
        <v>196</v>
      </c>
      <c r="E12" s="64">
        <v>23</v>
      </c>
      <c r="F12" s="66">
        <v>23</v>
      </c>
      <c r="G12" s="72">
        <v>1313.72</v>
      </c>
      <c r="H12" s="72">
        <f t="shared" si="0"/>
        <v>30215.56</v>
      </c>
      <c r="I12" s="76">
        <f t="shared" si="1"/>
        <v>1</v>
      </c>
      <c r="J12" s="76">
        <f t="shared" si="2"/>
        <v>5.3736391064348875E-2</v>
      </c>
      <c r="K12" s="69" t="s">
        <v>195</v>
      </c>
      <c r="L12" s="63" t="s">
        <v>162</v>
      </c>
    </row>
    <row r="13" spans="1:12" ht="13.5" customHeight="1" x14ac:dyDescent="0.35">
      <c r="A13" s="64">
        <v>11</v>
      </c>
      <c r="B13" s="63" t="s">
        <v>194</v>
      </c>
      <c r="C13" s="63" t="s">
        <v>193</v>
      </c>
      <c r="D13" s="63" t="s">
        <v>192</v>
      </c>
      <c r="E13" s="64">
        <v>3</v>
      </c>
      <c r="F13" s="66">
        <v>3</v>
      </c>
      <c r="G13" s="72">
        <v>801.1</v>
      </c>
      <c r="H13" s="72">
        <f t="shared" si="0"/>
        <v>2403.3000000000002</v>
      </c>
      <c r="I13" s="76">
        <f t="shared" si="1"/>
        <v>1</v>
      </c>
      <c r="J13" s="76">
        <f t="shared" si="2"/>
        <v>4.2741113732444359E-3</v>
      </c>
      <c r="K13" s="69" t="s">
        <v>191</v>
      </c>
      <c r="L13" s="63" t="s">
        <v>162</v>
      </c>
    </row>
    <row r="14" spans="1:12" ht="13.5" customHeight="1" x14ac:dyDescent="0.35">
      <c r="A14" s="64">
        <v>12</v>
      </c>
      <c r="B14" s="63" t="s">
        <v>190</v>
      </c>
      <c r="C14" s="63" t="s">
        <v>189</v>
      </c>
      <c r="D14" s="63" t="s">
        <v>188</v>
      </c>
      <c r="E14" s="64">
        <v>12</v>
      </c>
      <c r="F14" s="66">
        <v>12</v>
      </c>
      <c r="G14" s="72">
        <v>202.84</v>
      </c>
      <c r="H14" s="72">
        <f t="shared" si="0"/>
        <v>2434.08</v>
      </c>
      <c r="I14" s="76">
        <f t="shared" si="1"/>
        <v>1</v>
      </c>
      <c r="J14" s="76">
        <f t="shared" si="2"/>
        <v>4.3288515838167587E-3</v>
      </c>
      <c r="K14" s="69" t="s">
        <v>187</v>
      </c>
      <c r="L14" s="63" t="s">
        <v>162</v>
      </c>
    </row>
    <row r="15" spans="1:12" ht="13.5" customHeight="1" x14ac:dyDescent="0.35">
      <c r="A15" s="64">
        <v>13</v>
      </c>
      <c r="B15" s="63" t="s">
        <v>186</v>
      </c>
      <c r="C15" s="63" t="s">
        <v>185</v>
      </c>
      <c r="D15" s="63" t="s">
        <v>184</v>
      </c>
      <c r="E15" s="64">
        <v>284</v>
      </c>
      <c r="F15" s="66">
        <v>284</v>
      </c>
      <c r="G15" s="72">
        <v>56.89</v>
      </c>
      <c r="H15" s="72">
        <f t="shared" si="0"/>
        <v>16156.76</v>
      </c>
      <c r="I15" s="76">
        <f t="shared" si="1"/>
        <v>1</v>
      </c>
      <c r="J15" s="76">
        <f t="shared" si="2"/>
        <v>2.8733737640236661E-2</v>
      </c>
      <c r="K15" s="69" t="s">
        <v>183</v>
      </c>
      <c r="L15" s="63" t="s">
        <v>162</v>
      </c>
    </row>
    <row r="16" spans="1:12" ht="13.5" customHeight="1" x14ac:dyDescent="0.35">
      <c r="A16" s="64">
        <v>14</v>
      </c>
      <c r="B16" s="63" t="s">
        <v>182</v>
      </c>
      <c r="C16" s="63" t="s">
        <v>160</v>
      </c>
      <c r="D16" s="63" t="s">
        <v>181</v>
      </c>
      <c r="E16" s="64">
        <v>150</v>
      </c>
      <c r="F16" s="66">
        <v>150</v>
      </c>
      <c r="G16" s="72">
        <v>326.39999999999998</v>
      </c>
      <c r="H16" s="72">
        <f t="shared" si="0"/>
        <v>48960</v>
      </c>
      <c r="I16" s="76">
        <f t="shared" si="1"/>
        <v>1</v>
      </c>
      <c r="J16" s="76">
        <f t="shared" si="2"/>
        <v>8.7072147810946438E-2</v>
      </c>
      <c r="K16" s="69" t="s">
        <v>180</v>
      </c>
      <c r="L16" s="63" t="s">
        <v>162</v>
      </c>
    </row>
    <row r="17" spans="1:12" ht="13.5" customHeight="1" x14ac:dyDescent="0.35">
      <c r="A17" s="64">
        <v>15</v>
      </c>
      <c r="B17" s="63" t="s">
        <v>179</v>
      </c>
      <c r="C17" s="63" t="s">
        <v>178</v>
      </c>
      <c r="D17" s="63" t="s">
        <v>177</v>
      </c>
      <c r="E17" s="64">
        <v>39</v>
      </c>
      <c r="F17" s="66">
        <v>39</v>
      </c>
      <c r="G17" s="72">
        <v>812</v>
      </c>
      <c r="H17" s="72">
        <f t="shared" si="0"/>
        <v>31668</v>
      </c>
      <c r="I17" s="76">
        <f t="shared" si="1"/>
        <v>1</v>
      </c>
      <c r="J17" s="76">
        <f t="shared" si="2"/>
        <v>5.6319460312031284E-2</v>
      </c>
      <c r="K17" s="69" t="s">
        <v>176</v>
      </c>
      <c r="L17" s="63" t="s">
        <v>162</v>
      </c>
    </row>
    <row r="18" spans="1:12" ht="13.5" customHeight="1" x14ac:dyDescent="0.35">
      <c r="A18" s="64">
        <v>16</v>
      </c>
      <c r="B18" s="63" t="s">
        <v>175</v>
      </c>
      <c r="C18" s="63" t="s">
        <v>174</v>
      </c>
      <c r="D18" s="63" t="s">
        <v>173</v>
      </c>
      <c r="E18" s="64">
        <v>23</v>
      </c>
      <c r="F18" s="67">
        <v>23</v>
      </c>
      <c r="G18" s="73">
        <v>415</v>
      </c>
      <c r="H18" s="72">
        <f t="shared" si="0"/>
        <v>9545</v>
      </c>
      <c r="I18" s="76">
        <f t="shared" si="1"/>
        <v>1</v>
      </c>
      <c r="J18" s="76">
        <f t="shared" si="2"/>
        <v>1.6975156267473115E-2</v>
      </c>
      <c r="K18" s="69" t="s">
        <v>172</v>
      </c>
      <c r="L18" s="63" t="s">
        <v>162</v>
      </c>
    </row>
    <row r="19" spans="1:12" ht="13.5" customHeight="1" x14ac:dyDescent="0.35">
      <c r="A19" s="132">
        <v>17</v>
      </c>
      <c r="B19" s="134" t="s">
        <v>171</v>
      </c>
      <c r="C19" s="136" t="s">
        <v>170</v>
      </c>
      <c r="D19" s="63" t="s">
        <v>169</v>
      </c>
      <c r="E19" s="66">
        <v>74</v>
      </c>
      <c r="F19" s="75">
        <v>74</v>
      </c>
      <c r="G19" s="72">
        <v>185</v>
      </c>
      <c r="H19" s="72">
        <f t="shared" si="0"/>
        <v>13690</v>
      </c>
      <c r="I19" s="76">
        <f t="shared" si="1"/>
        <v>1</v>
      </c>
      <c r="J19" s="76">
        <f t="shared" si="2"/>
        <v>2.4346766820503608E-2</v>
      </c>
      <c r="K19" s="138" t="s">
        <v>168</v>
      </c>
      <c r="L19" s="134" t="s">
        <v>162</v>
      </c>
    </row>
    <row r="20" spans="1:12" ht="13.5" customHeight="1" x14ac:dyDescent="0.35">
      <c r="A20" s="133"/>
      <c r="B20" s="135"/>
      <c r="C20" s="137"/>
      <c r="D20" s="63" t="s">
        <v>167</v>
      </c>
      <c r="E20" s="66">
        <v>54</v>
      </c>
      <c r="F20" s="75">
        <v>54</v>
      </c>
      <c r="G20" s="72">
        <v>52</v>
      </c>
      <c r="H20" s="72">
        <f t="shared" si="0"/>
        <v>2808</v>
      </c>
      <c r="I20" s="76">
        <f t="shared" si="1"/>
        <v>1</v>
      </c>
      <c r="J20" s="76">
        <f t="shared" si="2"/>
        <v>4.9938437715101635E-3</v>
      </c>
      <c r="K20" s="139"/>
      <c r="L20" s="135"/>
    </row>
    <row r="21" spans="1:12" ht="13.5" customHeight="1" x14ac:dyDescent="0.35">
      <c r="A21" s="64">
        <v>18</v>
      </c>
      <c r="B21" s="63" t="s">
        <v>166</v>
      </c>
      <c r="C21" s="63" t="s">
        <v>165</v>
      </c>
      <c r="D21" s="63" t="s">
        <v>164</v>
      </c>
      <c r="E21" s="66">
        <v>79</v>
      </c>
      <c r="F21" s="75">
        <v>79</v>
      </c>
      <c r="G21" s="72">
        <v>485</v>
      </c>
      <c r="H21" s="72">
        <f t="shared" si="0"/>
        <v>38315</v>
      </c>
      <c r="I21" s="76">
        <f t="shared" si="1"/>
        <v>1</v>
      </c>
      <c r="J21" s="76">
        <f t="shared" si="2"/>
        <v>6.8140713712753528E-2</v>
      </c>
      <c r="K21" s="69" t="s">
        <v>163</v>
      </c>
      <c r="L21" s="63" t="s">
        <v>162</v>
      </c>
    </row>
    <row r="22" spans="1:12" ht="13.5" customHeight="1" x14ac:dyDescent="0.35">
      <c r="A22" s="64">
        <v>19</v>
      </c>
      <c r="B22" s="63" t="s">
        <v>161</v>
      </c>
      <c r="C22" s="63" t="s">
        <v>160</v>
      </c>
      <c r="D22" s="63" t="s">
        <v>159</v>
      </c>
      <c r="E22" s="66">
        <v>42</v>
      </c>
      <c r="F22" s="75">
        <v>42</v>
      </c>
      <c r="G22" s="72">
        <v>48</v>
      </c>
      <c r="H22" s="72">
        <f t="shared" si="0"/>
        <v>2016</v>
      </c>
      <c r="I22" s="76">
        <f t="shared" si="1"/>
        <v>1</v>
      </c>
      <c r="J22" s="76">
        <f t="shared" si="2"/>
        <v>3.5853237333919124E-3</v>
      </c>
      <c r="K22" s="69" t="s">
        <v>158</v>
      </c>
      <c r="L22" s="63" t="s">
        <v>150</v>
      </c>
    </row>
    <row r="23" spans="1:12" ht="27" customHeight="1" x14ac:dyDescent="0.35">
      <c r="A23" s="64">
        <v>20</v>
      </c>
      <c r="B23" s="63" t="s">
        <v>154</v>
      </c>
      <c r="C23" s="63" t="s">
        <v>157</v>
      </c>
      <c r="D23" s="63" t="s">
        <v>156</v>
      </c>
      <c r="E23" s="66">
        <v>9</v>
      </c>
      <c r="F23" s="75">
        <v>9</v>
      </c>
      <c r="G23" s="72">
        <v>1250</v>
      </c>
      <c r="H23" s="72">
        <f t="shared" si="0"/>
        <v>11250</v>
      </c>
      <c r="I23" s="76">
        <f t="shared" si="1"/>
        <v>1</v>
      </c>
      <c r="J23" s="76">
        <f t="shared" si="2"/>
        <v>2.0007386905088794E-2</v>
      </c>
      <c r="K23" s="70" t="s">
        <v>155</v>
      </c>
      <c r="L23" s="63" t="s">
        <v>150</v>
      </c>
    </row>
    <row r="24" spans="1:12" ht="13.5" customHeight="1" x14ac:dyDescent="0.35">
      <c r="A24" s="64">
        <v>21</v>
      </c>
      <c r="B24" s="63" t="s">
        <v>154</v>
      </c>
      <c r="C24" s="63" t="s">
        <v>153</v>
      </c>
      <c r="D24" s="63" t="s">
        <v>152</v>
      </c>
      <c r="E24" s="64">
        <v>29</v>
      </c>
      <c r="F24" s="68">
        <v>29</v>
      </c>
      <c r="G24" s="74">
        <v>275</v>
      </c>
      <c r="H24" s="72">
        <f t="shared" si="0"/>
        <v>7975</v>
      </c>
      <c r="I24" s="76">
        <f t="shared" si="1"/>
        <v>1</v>
      </c>
      <c r="J24" s="76">
        <f t="shared" si="2"/>
        <v>1.4183014272718501E-2</v>
      </c>
      <c r="K24" s="69" t="s">
        <v>151</v>
      </c>
      <c r="L24" s="63" t="s">
        <v>150</v>
      </c>
    </row>
    <row r="25" spans="1:12" ht="13.5" customHeight="1" x14ac:dyDescent="0.35">
      <c r="A25" s="64">
        <v>22</v>
      </c>
      <c r="B25" s="63" t="s">
        <v>146</v>
      </c>
      <c r="C25" s="63" t="s">
        <v>149</v>
      </c>
      <c r="D25" s="63" t="s">
        <v>148</v>
      </c>
      <c r="E25" s="64">
        <v>48</v>
      </c>
      <c r="F25" s="66">
        <v>48</v>
      </c>
      <c r="G25" s="72">
        <v>43.15</v>
      </c>
      <c r="H25" s="72">
        <f t="shared" si="0"/>
        <v>2071.1999999999998</v>
      </c>
      <c r="I25" s="76">
        <f t="shared" si="1"/>
        <v>1</v>
      </c>
      <c r="J25" s="76">
        <f t="shared" si="2"/>
        <v>3.683493311806214E-3</v>
      </c>
      <c r="K25" s="69" t="s">
        <v>147</v>
      </c>
      <c r="L25" s="63" t="s">
        <v>142</v>
      </c>
    </row>
    <row r="26" spans="1:12" ht="13.5" customHeight="1" x14ac:dyDescent="0.35">
      <c r="A26" s="64">
        <v>23</v>
      </c>
      <c r="B26" s="63" t="s">
        <v>146</v>
      </c>
      <c r="C26" s="63" t="s">
        <v>145</v>
      </c>
      <c r="D26" s="63" t="s">
        <v>144</v>
      </c>
      <c r="E26" s="64">
        <v>26</v>
      </c>
      <c r="F26" s="66">
        <v>26</v>
      </c>
      <c r="G26" s="72">
        <v>58.5</v>
      </c>
      <c r="H26" s="72">
        <f t="shared" si="0"/>
        <v>1521</v>
      </c>
      <c r="I26" s="76">
        <f t="shared" si="1"/>
        <v>1</v>
      </c>
      <c r="J26" s="76">
        <f t="shared" si="2"/>
        <v>2.7049987095680052E-3</v>
      </c>
      <c r="K26" s="69" t="s">
        <v>143</v>
      </c>
      <c r="L26" s="63" t="s">
        <v>142</v>
      </c>
    </row>
    <row r="28" spans="1:12" ht="14.25" x14ac:dyDescent="0.45">
      <c r="H28" s="127" t="s">
        <v>236</v>
      </c>
      <c r="I28" s="128"/>
      <c r="J28" s="59">
        <f>SUM(J3:J26)</f>
        <v>0.99999999999999989</v>
      </c>
    </row>
  </sheetData>
  <mergeCells count="7">
    <mergeCell ref="H28:I28"/>
    <mergeCell ref="A1:L1"/>
    <mergeCell ref="A19:A20"/>
    <mergeCell ref="B19:B20"/>
    <mergeCell ref="C19:C20"/>
    <mergeCell ref="K19:K20"/>
    <mergeCell ref="L19:L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8"/>
  <sheetViews>
    <sheetView zoomScale="70" zoomScaleNormal="70" zoomScaleSheetLayoutView="100" zoomScalePageLayoutView="10" workbookViewId="0">
      <selection activeCell="A15" sqref="A15:AE15"/>
    </sheetView>
  </sheetViews>
  <sheetFormatPr defaultColWidth="9.35546875" defaultRowHeight="13.15" x14ac:dyDescent="0.4"/>
  <cols>
    <col min="1" max="1" width="8.35546875" style="8" customWidth="1"/>
    <col min="2" max="2" width="26.42578125" style="8" customWidth="1"/>
    <col min="3" max="3" width="8" style="8" customWidth="1"/>
    <col min="4" max="4" width="10.2109375" style="8" customWidth="1"/>
    <col min="5" max="5" width="7.42578125" style="8" customWidth="1"/>
    <col min="6" max="6" width="11.78515625" style="8" customWidth="1"/>
    <col min="7" max="7" width="10.78515625" style="35" customWidth="1"/>
    <col min="8" max="17" width="7.78515625" style="8" customWidth="1"/>
    <col min="18" max="18" width="7.78515625" style="36" customWidth="1"/>
    <col min="19" max="19" width="7.78515625" style="8" customWidth="1"/>
    <col min="20" max="21" width="7.78515625" style="37" customWidth="1"/>
    <col min="22" max="31" width="7.78515625" style="8" customWidth="1"/>
    <col min="32" max="32" width="9.35546875" style="8" customWidth="1"/>
    <col min="33" max="16384" width="9.35546875" style="8"/>
  </cols>
  <sheetData>
    <row r="1" spans="1:31" ht="13.9" customHeight="1" x14ac:dyDescent="0.4">
      <c r="A1" s="1"/>
      <c r="B1" s="205" t="s">
        <v>51</v>
      </c>
      <c r="C1" s="178"/>
      <c r="D1" s="178"/>
      <c r="E1" s="178"/>
      <c r="F1" s="178"/>
      <c r="G1" s="178"/>
      <c r="H1" s="178"/>
      <c r="I1" s="178"/>
      <c r="J1" s="2"/>
      <c r="K1" s="2"/>
      <c r="L1" s="3"/>
      <c r="M1" s="3"/>
      <c r="N1" s="3"/>
      <c r="O1" s="3"/>
      <c r="P1" s="3"/>
      <c r="Q1" s="3"/>
      <c r="R1" s="4"/>
      <c r="S1" s="3"/>
      <c r="T1" s="5" t="s">
        <v>52</v>
      </c>
      <c r="U1" s="6"/>
      <c r="V1" s="7"/>
      <c r="W1" s="7"/>
      <c r="X1" s="7"/>
      <c r="Y1" s="7"/>
      <c r="Z1" s="7"/>
      <c r="AA1" s="7"/>
      <c r="AB1" s="7"/>
      <c r="AC1" s="7"/>
      <c r="AD1" s="7"/>
      <c r="AE1" s="42"/>
    </row>
    <row r="2" spans="1:31" ht="14.25" customHeight="1" thickBot="1" x14ac:dyDescent="0.45">
      <c r="A2" s="9"/>
      <c r="B2" s="161" t="s">
        <v>53</v>
      </c>
      <c r="C2" s="162"/>
      <c r="D2" s="162"/>
      <c r="E2" s="162"/>
      <c r="F2" s="162"/>
      <c r="G2" s="162"/>
      <c r="H2" s="162"/>
      <c r="I2" s="162"/>
      <c r="J2" s="10"/>
      <c r="K2" s="10"/>
      <c r="L2" s="11"/>
      <c r="M2" s="11"/>
      <c r="N2" s="11"/>
      <c r="O2" s="11"/>
      <c r="P2" s="11"/>
      <c r="Q2" s="11"/>
      <c r="R2" s="12"/>
      <c r="S2" s="11"/>
      <c r="T2" s="13" t="s">
        <v>54</v>
      </c>
      <c r="U2" s="14"/>
      <c r="V2" s="15"/>
      <c r="W2" s="15"/>
      <c r="X2" s="15"/>
      <c r="Y2" s="15"/>
      <c r="Z2" s="15"/>
      <c r="AA2" s="15"/>
      <c r="AB2" s="15"/>
      <c r="AC2" s="15"/>
      <c r="AD2" s="15"/>
      <c r="AE2" s="43"/>
    </row>
    <row r="3" spans="1:31" s="16" customFormat="1" ht="12.75" customHeight="1" x14ac:dyDescent="0.3">
      <c r="A3" s="215" t="s">
        <v>55</v>
      </c>
      <c r="B3" s="178"/>
      <c r="C3" s="178"/>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216"/>
    </row>
    <row r="4" spans="1:31" s="16" customFormat="1" ht="10.15" customHeight="1" x14ac:dyDescent="0.3">
      <c r="A4" s="217"/>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9"/>
    </row>
    <row r="5" spans="1:31" s="16" customFormat="1" ht="10.15" customHeight="1" x14ac:dyDescent="0.3">
      <c r="A5" s="217"/>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9"/>
    </row>
    <row r="6" spans="1:31" s="16" customFormat="1" ht="10.15" customHeight="1" x14ac:dyDescent="0.3">
      <c r="A6" s="220"/>
      <c r="B6" s="171"/>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221"/>
    </row>
    <row r="7" spans="1:31" s="17" customFormat="1" ht="15" customHeight="1" x14ac:dyDescent="0.4">
      <c r="A7" s="176" t="s">
        <v>56</v>
      </c>
      <c r="B7" s="168"/>
      <c r="C7" s="168"/>
      <c r="D7" s="169"/>
      <c r="E7" s="208" t="s">
        <v>57</v>
      </c>
      <c r="F7" s="168"/>
      <c r="G7" s="168"/>
      <c r="H7" s="168"/>
      <c r="I7" s="168"/>
      <c r="J7" s="168"/>
      <c r="K7" s="168"/>
      <c r="L7" s="168"/>
      <c r="M7" s="168"/>
      <c r="N7" s="168"/>
      <c r="O7" s="168"/>
      <c r="P7" s="169"/>
      <c r="Q7" s="206" t="s">
        <v>58</v>
      </c>
      <c r="R7" s="200"/>
      <c r="S7" s="200"/>
      <c r="T7" s="200"/>
      <c r="U7" s="200"/>
      <c r="V7" s="200"/>
      <c r="W7" s="200"/>
      <c r="X7" s="200"/>
      <c r="Y7" s="200"/>
      <c r="Z7" s="200"/>
      <c r="AA7" s="200"/>
      <c r="AB7" s="200"/>
      <c r="AC7" s="200"/>
      <c r="AD7" s="200"/>
      <c r="AE7" s="207"/>
    </row>
    <row r="8" spans="1:31" s="17" customFormat="1" ht="15" customHeight="1" x14ac:dyDescent="0.4">
      <c r="A8" s="209" t="s">
        <v>258</v>
      </c>
      <c r="B8" s="171"/>
      <c r="C8" s="171"/>
      <c r="D8" s="172"/>
      <c r="E8" s="231" t="s">
        <v>260</v>
      </c>
      <c r="F8" s="194"/>
      <c r="G8" s="194"/>
      <c r="H8" s="194"/>
      <c r="I8" s="194"/>
      <c r="J8" s="194"/>
      <c r="K8" s="194"/>
      <c r="L8" s="194"/>
      <c r="M8" s="194"/>
      <c r="N8" s="194"/>
      <c r="O8" s="194"/>
      <c r="P8" s="188"/>
      <c r="Q8" s="223" t="s">
        <v>59</v>
      </c>
      <c r="R8" s="169"/>
      <c r="S8" s="222" t="s">
        <v>60</v>
      </c>
      <c r="T8" s="168"/>
      <c r="U8" s="168"/>
      <c r="V8" s="168"/>
      <c r="W8" s="168"/>
      <c r="X8" s="168"/>
      <c r="Y8" s="168"/>
      <c r="Z8" s="168"/>
      <c r="AA8" s="168"/>
      <c r="AB8" s="168"/>
      <c r="AC8" s="168"/>
      <c r="AD8" s="168"/>
      <c r="AE8" s="186"/>
    </row>
    <row r="9" spans="1:31" s="17" customFormat="1" ht="15" customHeight="1" x14ac:dyDescent="0.4">
      <c r="A9" s="87" t="s">
        <v>61</v>
      </c>
      <c r="B9" s="88"/>
      <c r="C9" s="174">
        <v>45918</v>
      </c>
      <c r="D9" s="175"/>
      <c r="E9" s="170"/>
      <c r="F9" s="171"/>
      <c r="G9" s="171"/>
      <c r="H9" s="171"/>
      <c r="I9" s="171"/>
      <c r="J9" s="171"/>
      <c r="K9" s="171"/>
      <c r="L9" s="171"/>
      <c r="M9" s="171"/>
      <c r="N9" s="171"/>
      <c r="O9" s="171"/>
      <c r="P9" s="172"/>
      <c r="Q9" s="198"/>
      <c r="R9" s="188"/>
      <c r="S9" s="228"/>
      <c r="T9" s="194"/>
      <c r="U9" s="194"/>
      <c r="V9" s="194"/>
      <c r="W9" s="194"/>
      <c r="X9" s="194"/>
      <c r="Y9" s="194"/>
      <c r="Z9" s="194"/>
      <c r="AA9" s="194"/>
      <c r="AB9" s="194"/>
      <c r="AC9" s="194"/>
      <c r="AD9" s="194"/>
      <c r="AE9" s="219"/>
    </row>
    <row r="10" spans="1:31" s="17" customFormat="1" ht="15" customHeight="1" x14ac:dyDescent="0.4">
      <c r="A10" s="89" t="s">
        <v>62</v>
      </c>
      <c r="B10" s="90"/>
      <c r="C10" s="174">
        <v>46463</v>
      </c>
      <c r="D10" s="175"/>
      <c r="E10" s="199" t="s">
        <v>63</v>
      </c>
      <c r="F10" s="200"/>
      <c r="G10" s="200"/>
      <c r="H10" s="200"/>
      <c r="I10" s="200"/>
      <c r="J10" s="200"/>
      <c r="K10" s="200"/>
      <c r="L10" s="200"/>
      <c r="M10" s="200"/>
      <c r="N10" s="200"/>
      <c r="O10" s="200"/>
      <c r="P10" s="175"/>
      <c r="Q10" s="170"/>
      <c r="R10" s="172"/>
      <c r="S10" s="170"/>
      <c r="T10" s="171"/>
      <c r="U10" s="171"/>
      <c r="V10" s="171"/>
      <c r="W10" s="171"/>
      <c r="X10" s="171"/>
      <c r="Y10" s="171"/>
      <c r="Z10" s="171"/>
      <c r="AA10" s="171"/>
      <c r="AB10" s="171"/>
      <c r="AC10" s="171"/>
      <c r="AD10" s="171"/>
      <c r="AE10" s="221"/>
    </row>
    <row r="11" spans="1:31" s="17" customFormat="1" ht="15" customHeight="1" x14ac:dyDescent="0.4">
      <c r="A11" s="89" t="s">
        <v>64</v>
      </c>
      <c r="B11" s="90"/>
      <c r="C11" s="174" t="s">
        <v>259</v>
      </c>
      <c r="D11" s="175"/>
      <c r="E11" s="210" t="s">
        <v>59</v>
      </c>
      <c r="F11" s="169"/>
      <c r="G11" s="214" t="s">
        <v>65</v>
      </c>
      <c r="H11" s="168"/>
      <c r="I11" s="168"/>
      <c r="J11" s="168"/>
      <c r="K11" s="168"/>
      <c r="L11" s="168"/>
      <c r="M11" s="169"/>
      <c r="N11" s="212" t="s">
        <v>66</v>
      </c>
      <c r="O11" s="168"/>
      <c r="P11" s="169"/>
      <c r="Q11" s="206" t="s">
        <v>67</v>
      </c>
      <c r="R11" s="200"/>
      <c r="S11" s="200"/>
      <c r="T11" s="200"/>
      <c r="U11" s="200"/>
      <c r="V11" s="200"/>
      <c r="W11" s="200"/>
      <c r="X11" s="200"/>
      <c r="Y11" s="200"/>
      <c r="Z11" s="200"/>
      <c r="AA11" s="200"/>
      <c r="AB11" s="200"/>
      <c r="AC11" s="200"/>
      <c r="AD11" s="200"/>
      <c r="AE11" s="207"/>
    </row>
    <row r="12" spans="1:31" s="17" customFormat="1" ht="15" customHeight="1" x14ac:dyDescent="0.4">
      <c r="A12" s="89" t="s">
        <v>68</v>
      </c>
      <c r="B12" s="90"/>
      <c r="C12" s="174"/>
      <c r="D12" s="175"/>
      <c r="E12" s="230">
        <v>45918</v>
      </c>
      <c r="F12" s="188"/>
      <c r="G12" s="211" t="s">
        <v>261</v>
      </c>
      <c r="H12" s="194"/>
      <c r="I12" s="194"/>
      <c r="J12" s="194"/>
      <c r="K12" s="194"/>
      <c r="L12" s="194"/>
      <c r="M12" s="188"/>
      <c r="N12" s="213"/>
      <c r="O12" s="194"/>
      <c r="P12" s="188"/>
      <c r="Q12" s="223" t="s">
        <v>59</v>
      </c>
      <c r="R12" s="169"/>
      <c r="S12" s="185" t="s">
        <v>69</v>
      </c>
      <c r="T12" s="168"/>
      <c r="U12" s="168"/>
      <c r="V12" s="168"/>
      <c r="W12" s="168"/>
      <c r="X12" s="168"/>
      <c r="Y12" s="168"/>
      <c r="Z12" s="168"/>
      <c r="AA12" s="168"/>
      <c r="AB12" s="168"/>
      <c r="AC12" s="168"/>
      <c r="AD12" s="168"/>
      <c r="AE12" s="186"/>
    </row>
    <row r="13" spans="1:31" s="17" customFormat="1" ht="15" customHeight="1" x14ac:dyDescent="0.4">
      <c r="A13" s="91" t="s">
        <v>70</v>
      </c>
      <c r="B13" s="92"/>
      <c r="C13" s="174"/>
      <c r="D13" s="175"/>
      <c r="E13" s="213"/>
      <c r="F13" s="188"/>
      <c r="G13" s="197" t="s">
        <v>71</v>
      </c>
      <c r="H13" s="194"/>
      <c r="I13" s="194"/>
      <c r="J13" s="194"/>
      <c r="K13" s="194"/>
      <c r="L13" s="194"/>
      <c r="M13" s="188"/>
      <c r="N13" s="187"/>
      <c r="O13" s="194"/>
      <c r="P13" s="188"/>
      <c r="Q13" s="187"/>
      <c r="R13" s="188"/>
      <c r="S13" s="224"/>
      <c r="T13" s="194"/>
      <c r="U13" s="194"/>
      <c r="V13" s="194"/>
      <c r="W13" s="194"/>
      <c r="X13" s="194"/>
      <c r="Y13" s="194"/>
      <c r="Z13" s="194"/>
      <c r="AA13" s="194"/>
      <c r="AB13" s="194"/>
      <c r="AC13" s="194"/>
      <c r="AD13" s="194"/>
      <c r="AE13" s="219"/>
    </row>
    <row r="14" spans="1:31" s="17" customFormat="1" ht="15" customHeight="1" thickBot="1" x14ac:dyDescent="0.45">
      <c r="A14" s="93" t="s">
        <v>72</v>
      </c>
      <c r="B14" s="94"/>
      <c r="C14" s="180"/>
      <c r="D14" s="181"/>
      <c r="E14" s="189"/>
      <c r="F14" s="190"/>
      <c r="G14" s="229" t="s">
        <v>73</v>
      </c>
      <c r="H14" s="162"/>
      <c r="I14" s="162"/>
      <c r="J14" s="162"/>
      <c r="K14" s="162"/>
      <c r="L14" s="162"/>
      <c r="M14" s="190"/>
      <c r="N14" s="189"/>
      <c r="O14" s="162"/>
      <c r="P14" s="190"/>
      <c r="Q14" s="189"/>
      <c r="R14" s="190"/>
      <c r="S14" s="189"/>
      <c r="T14" s="162"/>
      <c r="U14" s="162"/>
      <c r="V14" s="162"/>
      <c r="W14" s="162"/>
      <c r="X14" s="162"/>
      <c r="Y14" s="162"/>
      <c r="Z14" s="162"/>
      <c r="AA14" s="162"/>
      <c r="AB14" s="162"/>
      <c r="AC14" s="162"/>
      <c r="AD14" s="162"/>
      <c r="AE14" s="225"/>
    </row>
    <row r="15" spans="1:31" s="17" customFormat="1" ht="15" customHeight="1" thickBot="1" x14ac:dyDescent="0.45">
      <c r="A15" s="191" t="s">
        <v>74</v>
      </c>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3"/>
    </row>
    <row r="16" spans="1:31" s="21" customFormat="1" ht="15" customHeight="1" x14ac:dyDescent="0.4">
      <c r="A16" s="19" t="s">
        <v>75</v>
      </c>
      <c r="B16" s="177" t="s">
        <v>76</v>
      </c>
      <c r="C16" s="178"/>
      <c r="D16" s="178"/>
      <c r="E16" s="178"/>
      <c r="F16" s="178"/>
      <c r="G16" s="178"/>
      <c r="H16" s="178"/>
      <c r="I16" s="178"/>
      <c r="J16" s="178"/>
      <c r="K16" s="178"/>
      <c r="L16" s="179"/>
      <c r="M16" s="20" t="s">
        <v>77</v>
      </c>
      <c r="N16" s="202" t="s">
        <v>78</v>
      </c>
      <c r="O16" s="203"/>
      <c r="P16" s="203"/>
      <c r="Q16" s="203"/>
      <c r="R16" s="203"/>
      <c r="S16" s="203"/>
      <c r="T16" s="203"/>
      <c r="U16" s="203"/>
      <c r="V16" s="203"/>
      <c r="W16" s="203"/>
      <c r="X16" s="203"/>
      <c r="Y16" s="203"/>
      <c r="Z16" s="203"/>
      <c r="AA16" s="203"/>
      <c r="AB16" s="203"/>
      <c r="AC16" s="203"/>
      <c r="AD16" s="203"/>
      <c r="AE16" s="204"/>
    </row>
    <row r="17" spans="1:31" s="21" customFormat="1" ht="15" customHeight="1" x14ac:dyDescent="0.4">
      <c r="A17" s="22" t="s">
        <v>79</v>
      </c>
      <c r="B17" s="201" t="s">
        <v>80</v>
      </c>
      <c r="C17" s="171"/>
      <c r="D17" s="171"/>
      <c r="E17" s="171"/>
      <c r="F17" s="171"/>
      <c r="G17" s="171"/>
      <c r="H17" s="171"/>
      <c r="I17" s="171"/>
      <c r="J17" s="171"/>
      <c r="K17" s="171"/>
      <c r="L17" s="172"/>
      <c r="M17" s="23" t="s">
        <v>81</v>
      </c>
      <c r="N17" s="25">
        <v>45931</v>
      </c>
      <c r="O17" s="24">
        <v>45962</v>
      </c>
      <c r="P17" s="25">
        <v>45992</v>
      </c>
      <c r="Q17" s="24">
        <v>46023</v>
      </c>
      <c r="R17" s="25">
        <v>46054</v>
      </c>
      <c r="S17" s="24">
        <v>46082</v>
      </c>
      <c r="T17" s="25">
        <v>46113</v>
      </c>
      <c r="U17" s="24">
        <v>46143</v>
      </c>
      <c r="V17" s="25">
        <v>46174</v>
      </c>
      <c r="W17" s="24">
        <v>46204</v>
      </c>
      <c r="X17" s="25">
        <v>46235</v>
      </c>
      <c r="Y17" s="24">
        <v>46266</v>
      </c>
      <c r="Z17" s="25">
        <v>46296</v>
      </c>
      <c r="AA17" s="24">
        <v>46327</v>
      </c>
      <c r="AB17" s="25">
        <v>46357</v>
      </c>
      <c r="AC17" s="24">
        <v>46388</v>
      </c>
      <c r="AD17" s="25">
        <v>46419</v>
      </c>
      <c r="AE17" s="24">
        <v>46447</v>
      </c>
    </row>
    <row r="18" spans="1:31" s="17" customFormat="1" ht="15" customHeight="1" x14ac:dyDescent="0.3">
      <c r="A18" s="165">
        <v>1</v>
      </c>
      <c r="B18" s="167" t="s">
        <v>82</v>
      </c>
      <c r="C18" s="168"/>
      <c r="D18" s="168"/>
      <c r="E18" s="168"/>
      <c r="F18" s="168"/>
      <c r="G18" s="168"/>
      <c r="H18" s="168"/>
      <c r="I18" s="168"/>
      <c r="J18" s="168"/>
      <c r="K18" s="168"/>
      <c r="L18" s="169"/>
      <c r="M18" s="163">
        <v>0.1</v>
      </c>
      <c r="N18" s="173"/>
      <c r="O18" s="163"/>
      <c r="P18" s="173"/>
      <c r="Q18" s="163">
        <v>0.1</v>
      </c>
      <c r="R18" s="173"/>
      <c r="S18" s="163"/>
      <c r="T18" s="173"/>
      <c r="U18" s="163"/>
      <c r="V18" s="173"/>
      <c r="W18" s="173"/>
      <c r="Y18" s="163"/>
      <c r="Z18" s="173"/>
      <c r="AA18" s="163"/>
      <c r="AB18" s="173"/>
      <c r="AC18" s="163"/>
      <c r="AD18" s="173"/>
      <c r="AE18" s="183"/>
    </row>
    <row r="19" spans="1:31" s="17" customFormat="1" ht="15" customHeight="1" x14ac:dyDescent="0.3">
      <c r="A19" s="166"/>
      <c r="B19" s="170"/>
      <c r="C19" s="171"/>
      <c r="D19" s="171"/>
      <c r="E19" s="171"/>
      <c r="F19" s="171"/>
      <c r="G19" s="171"/>
      <c r="H19" s="171"/>
      <c r="I19" s="171"/>
      <c r="J19" s="171"/>
      <c r="K19" s="171"/>
      <c r="L19" s="172"/>
      <c r="M19" s="164"/>
      <c r="N19" s="164"/>
      <c r="O19" s="164"/>
      <c r="P19" s="164"/>
      <c r="Q19" s="164"/>
      <c r="R19" s="164"/>
      <c r="S19" s="164"/>
      <c r="T19" s="164"/>
      <c r="U19" s="164"/>
      <c r="V19" s="164"/>
      <c r="W19" s="164"/>
      <c r="Y19" s="164"/>
      <c r="Z19" s="164"/>
      <c r="AA19" s="164"/>
      <c r="AB19" s="164"/>
      <c r="AC19" s="164"/>
      <c r="AD19" s="164"/>
      <c r="AE19" s="184"/>
    </row>
    <row r="20" spans="1:31" s="17" customFormat="1" ht="15" customHeight="1" x14ac:dyDescent="0.3">
      <c r="A20" s="165">
        <v>2</v>
      </c>
      <c r="B20" s="167" t="s">
        <v>250</v>
      </c>
      <c r="C20" s="168"/>
      <c r="D20" s="168"/>
      <c r="E20" s="168"/>
      <c r="F20" s="168"/>
      <c r="G20" s="168"/>
      <c r="H20" s="168"/>
      <c r="I20" s="168"/>
      <c r="J20" s="168"/>
      <c r="K20" s="168"/>
      <c r="L20" s="169"/>
      <c r="M20" s="163">
        <v>0.08</v>
      </c>
      <c r="N20" s="173"/>
      <c r="O20" s="163"/>
      <c r="P20" s="173"/>
      <c r="Q20" s="163"/>
      <c r="R20" s="173">
        <v>0.08</v>
      </c>
      <c r="S20" s="163"/>
      <c r="T20" s="173"/>
      <c r="U20" s="163"/>
      <c r="V20" s="173"/>
      <c r="W20" s="163"/>
      <c r="X20" s="173"/>
      <c r="Y20" s="163"/>
      <c r="Z20" s="173"/>
      <c r="AA20" s="163"/>
      <c r="AB20" s="173"/>
      <c r="AC20" s="163"/>
      <c r="AD20" s="173"/>
      <c r="AE20" s="183"/>
    </row>
    <row r="21" spans="1:31" s="17" customFormat="1" ht="15" customHeight="1" x14ac:dyDescent="0.3">
      <c r="A21" s="166"/>
      <c r="B21" s="170"/>
      <c r="C21" s="171"/>
      <c r="D21" s="171"/>
      <c r="E21" s="171"/>
      <c r="F21" s="171"/>
      <c r="G21" s="171"/>
      <c r="H21" s="171"/>
      <c r="I21" s="171"/>
      <c r="J21" s="171"/>
      <c r="K21" s="171"/>
      <c r="L21" s="172"/>
      <c r="M21" s="164"/>
      <c r="N21" s="164"/>
      <c r="O21" s="164"/>
      <c r="P21" s="164"/>
      <c r="Q21" s="164"/>
      <c r="R21" s="164"/>
      <c r="S21" s="164"/>
      <c r="T21" s="164"/>
      <c r="U21" s="164"/>
      <c r="V21" s="164"/>
      <c r="W21" s="164"/>
      <c r="X21" s="164"/>
      <c r="Y21" s="164"/>
      <c r="Z21" s="164"/>
      <c r="AA21" s="164"/>
      <c r="AB21" s="164"/>
      <c r="AC21" s="164"/>
      <c r="AD21" s="164"/>
      <c r="AE21" s="184"/>
    </row>
    <row r="22" spans="1:31" s="17" customFormat="1" ht="15" customHeight="1" x14ac:dyDescent="0.3">
      <c r="A22" s="165">
        <v>3</v>
      </c>
      <c r="B22" s="167" t="s">
        <v>83</v>
      </c>
      <c r="C22" s="168"/>
      <c r="D22" s="168"/>
      <c r="E22" s="168"/>
      <c r="F22" s="168"/>
      <c r="G22" s="168"/>
      <c r="H22" s="168"/>
      <c r="I22" s="168"/>
      <c r="J22" s="168"/>
      <c r="K22" s="168"/>
      <c r="L22" s="169"/>
      <c r="M22" s="163">
        <v>0.18</v>
      </c>
      <c r="N22" s="173"/>
      <c r="O22" s="163"/>
      <c r="P22" s="173"/>
      <c r="Q22" s="163">
        <v>0.04</v>
      </c>
      <c r="R22" s="173">
        <v>0.05</v>
      </c>
      <c r="S22" s="163">
        <v>0.05</v>
      </c>
      <c r="T22" s="173">
        <v>0.04</v>
      </c>
      <c r="U22" s="163"/>
      <c r="V22" s="173"/>
      <c r="W22" s="163"/>
      <c r="X22" s="173"/>
      <c r="Y22" s="163"/>
      <c r="Z22" s="173"/>
      <c r="AA22" s="163"/>
      <c r="AB22" s="173"/>
      <c r="AC22" s="163"/>
      <c r="AD22" s="173"/>
      <c r="AE22" s="183"/>
    </row>
    <row r="23" spans="1:31" s="17" customFormat="1" ht="15" customHeight="1" x14ac:dyDescent="0.3">
      <c r="A23" s="166"/>
      <c r="B23" s="170"/>
      <c r="C23" s="171"/>
      <c r="D23" s="171"/>
      <c r="E23" s="171"/>
      <c r="F23" s="171"/>
      <c r="G23" s="171"/>
      <c r="H23" s="171"/>
      <c r="I23" s="171"/>
      <c r="J23" s="171"/>
      <c r="K23" s="171"/>
      <c r="L23" s="172"/>
      <c r="M23" s="164"/>
      <c r="N23" s="164"/>
      <c r="O23" s="164"/>
      <c r="P23" s="164"/>
      <c r="Q23" s="164"/>
      <c r="R23" s="164"/>
      <c r="S23" s="164"/>
      <c r="T23" s="164"/>
      <c r="U23" s="164"/>
      <c r="V23" s="164"/>
      <c r="W23" s="164"/>
      <c r="X23" s="164"/>
      <c r="Y23" s="164"/>
      <c r="Z23" s="164"/>
      <c r="AA23" s="164"/>
      <c r="AB23" s="164"/>
      <c r="AC23" s="164"/>
      <c r="AD23" s="164"/>
      <c r="AE23" s="184"/>
    </row>
    <row r="24" spans="1:31" s="17" customFormat="1" ht="15" customHeight="1" x14ac:dyDescent="0.3">
      <c r="A24" s="165">
        <v>4</v>
      </c>
      <c r="B24" s="167" t="s">
        <v>251</v>
      </c>
      <c r="C24" s="168"/>
      <c r="D24" s="168"/>
      <c r="E24" s="168"/>
      <c r="F24" s="168"/>
      <c r="G24" s="168"/>
      <c r="H24" s="168"/>
      <c r="I24" s="168"/>
      <c r="J24" s="168"/>
      <c r="K24" s="168"/>
      <c r="L24" s="169"/>
      <c r="M24" s="163">
        <v>7.0000000000000007E-2</v>
      </c>
      <c r="N24" s="173"/>
      <c r="O24" s="163"/>
      <c r="P24" s="173"/>
      <c r="Q24" s="163">
        <v>0.02</v>
      </c>
      <c r="R24" s="173">
        <v>0.03</v>
      </c>
      <c r="S24" s="163">
        <v>0.02</v>
      </c>
      <c r="T24" s="173"/>
      <c r="U24" s="163"/>
      <c r="V24" s="173"/>
      <c r="W24" s="163"/>
      <c r="X24" s="173"/>
      <c r="Y24" s="163"/>
      <c r="Z24" s="173"/>
      <c r="AA24" s="163"/>
      <c r="AB24" s="173"/>
      <c r="AC24" s="163"/>
      <c r="AD24" s="173"/>
      <c r="AE24" s="183"/>
    </row>
    <row r="25" spans="1:31" s="17" customFormat="1" ht="15" customHeight="1" x14ac:dyDescent="0.3">
      <c r="A25" s="166"/>
      <c r="B25" s="170"/>
      <c r="C25" s="171"/>
      <c r="D25" s="171"/>
      <c r="E25" s="171"/>
      <c r="F25" s="171"/>
      <c r="G25" s="171"/>
      <c r="H25" s="171"/>
      <c r="I25" s="171"/>
      <c r="J25" s="171"/>
      <c r="K25" s="171"/>
      <c r="L25" s="172"/>
      <c r="M25" s="164"/>
      <c r="N25" s="164"/>
      <c r="O25" s="164"/>
      <c r="P25" s="164"/>
      <c r="Q25" s="164"/>
      <c r="R25" s="164"/>
      <c r="S25" s="164"/>
      <c r="T25" s="164"/>
      <c r="U25" s="164"/>
      <c r="V25" s="164"/>
      <c r="W25" s="164"/>
      <c r="X25" s="164"/>
      <c r="Y25" s="164"/>
      <c r="Z25" s="164"/>
      <c r="AA25" s="164"/>
      <c r="AB25" s="164"/>
      <c r="AC25" s="164"/>
      <c r="AD25" s="164"/>
      <c r="AE25" s="184"/>
    </row>
    <row r="26" spans="1:31" s="17" customFormat="1" ht="15" customHeight="1" x14ac:dyDescent="0.3">
      <c r="A26" s="165">
        <v>5</v>
      </c>
      <c r="B26" s="167" t="s">
        <v>252</v>
      </c>
      <c r="C26" s="168"/>
      <c r="D26" s="168"/>
      <c r="E26" s="168"/>
      <c r="F26" s="168"/>
      <c r="G26" s="168"/>
      <c r="H26" s="168"/>
      <c r="I26" s="168"/>
      <c r="J26" s="168"/>
      <c r="K26" s="168"/>
      <c r="L26" s="169"/>
      <c r="M26" s="163">
        <v>0.2</v>
      </c>
      <c r="N26" s="173"/>
      <c r="O26" s="163"/>
      <c r="P26" s="173"/>
      <c r="Q26" s="163"/>
      <c r="R26" s="173"/>
      <c r="S26" s="163">
        <v>0.02</v>
      </c>
      <c r="T26" s="173">
        <v>0.03</v>
      </c>
      <c r="U26" s="163">
        <v>0.04</v>
      </c>
      <c r="V26" s="173">
        <v>0.04</v>
      </c>
      <c r="W26" s="163">
        <v>0.04</v>
      </c>
      <c r="X26" s="173">
        <v>0.03</v>
      </c>
      <c r="Y26" s="163"/>
      <c r="Z26" s="173"/>
      <c r="AA26" s="163"/>
      <c r="AB26" s="173"/>
      <c r="AC26" s="163"/>
      <c r="AD26" s="173"/>
      <c r="AE26" s="183"/>
    </row>
    <row r="27" spans="1:31" s="17" customFormat="1" ht="15" customHeight="1" x14ac:dyDescent="0.3">
      <c r="A27" s="166"/>
      <c r="B27" s="170"/>
      <c r="C27" s="171"/>
      <c r="D27" s="171"/>
      <c r="E27" s="171"/>
      <c r="F27" s="171"/>
      <c r="G27" s="171"/>
      <c r="H27" s="171"/>
      <c r="I27" s="171"/>
      <c r="J27" s="171"/>
      <c r="K27" s="171"/>
      <c r="L27" s="172"/>
      <c r="M27" s="164"/>
      <c r="N27" s="164"/>
      <c r="O27" s="164"/>
      <c r="P27" s="164"/>
      <c r="Q27" s="164"/>
      <c r="R27" s="164"/>
      <c r="S27" s="164"/>
      <c r="T27" s="164"/>
      <c r="U27" s="164"/>
      <c r="V27" s="164"/>
      <c r="W27" s="164"/>
      <c r="X27" s="164"/>
      <c r="Y27" s="164"/>
      <c r="Z27" s="164"/>
      <c r="AA27" s="164"/>
      <c r="AB27" s="164"/>
      <c r="AC27" s="164"/>
      <c r="AD27" s="164"/>
      <c r="AE27" s="184"/>
    </row>
    <row r="28" spans="1:31" s="17" customFormat="1" ht="15" customHeight="1" x14ac:dyDescent="0.3">
      <c r="A28" s="165">
        <v>6</v>
      </c>
      <c r="B28" s="167" t="s">
        <v>253</v>
      </c>
      <c r="C28" s="168"/>
      <c r="D28" s="168"/>
      <c r="E28" s="168"/>
      <c r="F28" s="168"/>
      <c r="G28" s="168"/>
      <c r="H28" s="168"/>
      <c r="I28" s="168"/>
      <c r="J28" s="168"/>
      <c r="K28" s="168"/>
      <c r="L28" s="169"/>
      <c r="M28" s="163">
        <v>0.15</v>
      </c>
      <c r="N28" s="173"/>
      <c r="O28" s="163"/>
      <c r="P28" s="173"/>
      <c r="Q28" s="163"/>
      <c r="R28" s="173"/>
      <c r="S28" s="163">
        <v>0.02</v>
      </c>
      <c r="T28" s="173">
        <v>0.03</v>
      </c>
      <c r="U28" s="163">
        <v>0.04</v>
      </c>
      <c r="V28" s="173">
        <v>0.03</v>
      </c>
      <c r="W28" s="163">
        <v>0.03</v>
      </c>
      <c r="X28" s="173"/>
      <c r="Y28" s="163"/>
      <c r="Z28" s="173"/>
      <c r="AA28" s="163"/>
      <c r="AB28" s="173"/>
      <c r="AC28" s="163"/>
      <c r="AD28" s="173"/>
      <c r="AE28" s="183"/>
    </row>
    <row r="29" spans="1:31" s="17" customFormat="1" ht="15" customHeight="1" x14ac:dyDescent="0.3">
      <c r="A29" s="166"/>
      <c r="B29" s="170"/>
      <c r="C29" s="171"/>
      <c r="D29" s="171"/>
      <c r="E29" s="171"/>
      <c r="F29" s="171"/>
      <c r="G29" s="171"/>
      <c r="H29" s="171"/>
      <c r="I29" s="171"/>
      <c r="J29" s="171"/>
      <c r="K29" s="171"/>
      <c r="L29" s="172"/>
      <c r="M29" s="164"/>
      <c r="N29" s="164"/>
      <c r="O29" s="164"/>
      <c r="P29" s="164"/>
      <c r="Q29" s="164"/>
      <c r="R29" s="164"/>
      <c r="S29" s="164"/>
      <c r="T29" s="164"/>
      <c r="U29" s="164"/>
      <c r="V29" s="164"/>
      <c r="W29" s="164"/>
      <c r="X29" s="164"/>
      <c r="Y29" s="164"/>
      <c r="Z29" s="164"/>
      <c r="AA29" s="164"/>
      <c r="AB29" s="164"/>
      <c r="AC29" s="164"/>
      <c r="AD29" s="164"/>
      <c r="AE29" s="184"/>
    </row>
    <row r="30" spans="1:31" s="17" customFormat="1" ht="15" customHeight="1" x14ac:dyDescent="0.3">
      <c r="A30" s="182">
        <v>7</v>
      </c>
      <c r="B30" s="167" t="s">
        <v>254</v>
      </c>
      <c r="C30" s="168"/>
      <c r="D30" s="168"/>
      <c r="E30" s="168"/>
      <c r="F30" s="168"/>
      <c r="G30" s="168"/>
      <c r="H30" s="168"/>
      <c r="I30" s="168"/>
      <c r="J30" s="168"/>
      <c r="K30" s="168"/>
      <c r="L30" s="169"/>
      <c r="M30" s="163">
        <v>0.06</v>
      </c>
      <c r="N30" s="173"/>
      <c r="O30" s="163"/>
      <c r="P30" s="173"/>
      <c r="Q30" s="163"/>
      <c r="R30" s="173"/>
      <c r="S30" s="163"/>
      <c r="T30" s="173"/>
      <c r="U30" s="163"/>
      <c r="V30" s="173">
        <v>0.02</v>
      </c>
      <c r="W30" s="163">
        <v>0.02</v>
      </c>
      <c r="X30" s="173">
        <v>0.02</v>
      </c>
      <c r="Y30" s="163"/>
      <c r="Z30" s="173"/>
      <c r="AA30" s="163"/>
      <c r="AB30" s="173"/>
      <c r="AC30" s="163"/>
      <c r="AD30" s="173"/>
      <c r="AE30" s="183"/>
    </row>
    <row r="31" spans="1:31" s="17" customFormat="1" ht="15" customHeight="1" x14ac:dyDescent="0.3">
      <c r="A31" s="166"/>
      <c r="B31" s="170"/>
      <c r="C31" s="171"/>
      <c r="D31" s="171"/>
      <c r="E31" s="171"/>
      <c r="F31" s="171"/>
      <c r="G31" s="171"/>
      <c r="H31" s="171"/>
      <c r="I31" s="171"/>
      <c r="J31" s="171"/>
      <c r="K31" s="171"/>
      <c r="L31" s="172"/>
      <c r="M31" s="164"/>
      <c r="N31" s="164"/>
      <c r="O31" s="164"/>
      <c r="P31" s="164"/>
      <c r="Q31" s="164"/>
      <c r="R31" s="164"/>
      <c r="S31" s="164"/>
      <c r="T31" s="164"/>
      <c r="U31" s="164"/>
      <c r="V31" s="164"/>
      <c r="W31" s="164"/>
      <c r="X31" s="164"/>
      <c r="Y31" s="164"/>
      <c r="Z31" s="164"/>
      <c r="AA31" s="164"/>
      <c r="AB31" s="164"/>
      <c r="AC31" s="164"/>
      <c r="AD31" s="164"/>
      <c r="AE31" s="184"/>
    </row>
    <row r="32" spans="1:31" s="17" customFormat="1" ht="15" customHeight="1" x14ac:dyDescent="0.3">
      <c r="A32" s="165">
        <v>8</v>
      </c>
      <c r="B32" s="167" t="s">
        <v>255</v>
      </c>
      <c r="C32" s="168"/>
      <c r="D32" s="168"/>
      <c r="E32" s="168"/>
      <c r="F32" s="168"/>
      <c r="G32" s="168"/>
      <c r="H32" s="168"/>
      <c r="I32" s="168"/>
      <c r="J32" s="168"/>
      <c r="K32" s="168"/>
      <c r="L32" s="169"/>
      <c r="M32" s="163">
        <v>0.06</v>
      </c>
      <c r="N32" s="173"/>
      <c r="O32" s="163"/>
      <c r="P32" s="173"/>
      <c r="Q32" s="163"/>
      <c r="R32" s="173"/>
      <c r="S32" s="163"/>
      <c r="T32" s="173"/>
      <c r="U32" s="163"/>
      <c r="V32" s="173"/>
      <c r="W32" s="163"/>
      <c r="X32" s="173">
        <v>0.02</v>
      </c>
      <c r="Y32" s="163">
        <v>0.02</v>
      </c>
      <c r="Z32" s="173">
        <v>0.02</v>
      </c>
      <c r="AA32" s="163"/>
      <c r="AB32" s="173"/>
      <c r="AC32" s="163"/>
      <c r="AD32" s="173"/>
      <c r="AE32" s="183"/>
    </row>
    <row r="33" spans="1:31" s="17" customFormat="1" ht="15" customHeight="1" x14ac:dyDescent="0.3">
      <c r="A33" s="166"/>
      <c r="B33" s="170"/>
      <c r="C33" s="171"/>
      <c r="D33" s="171"/>
      <c r="E33" s="171"/>
      <c r="F33" s="171"/>
      <c r="G33" s="171"/>
      <c r="H33" s="171"/>
      <c r="I33" s="171"/>
      <c r="J33" s="171"/>
      <c r="K33" s="171"/>
      <c r="L33" s="172"/>
      <c r="M33" s="164"/>
      <c r="N33" s="164"/>
      <c r="O33" s="164"/>
      <c r="P33" s="164"/>
      <c r="Q33" s="164"/>
      <c r="R33" s="164"/>
      <c r="S33" s="164"/>
      <c r="T33" s="164"/>
      <c r="U33" s="164"/>
      <c r="V33" s="164"/>
      <c r="W33" s="164"/>
      <c r="X33" s="164"/>
      <c r="Y33" s="164"/>
      <c r="Z33" s="164"/>
      <c r="AA33" s="164"/>
      <c r="AB33" s="164"/>
      <c r="AC33" s="164"/>
      <c r="AD33" s="164"/>
      <c r="AE33" s="184"/>
    </row>
    <row r="34" spans="1:31" s="17" customFormat="1" ht="15" customHeight="1" x14ac:dyDescent="0.3">
      <c r="A34" s="165">
        <v>9</v>
      </c>
      <c r="B34" s="167" t="s">
        <v>256</v>
      </c>
      <c r="C34" s="168"/>
      <c r="D34" s="168"/>
      <c r="E34" s="168"/>
      <c r="F34" s="168"/>
      <c r="G34" s="168"/>
      <c r="H34" s="168"/>
      <c r="I34" s="168"/>
      <c r="J34" s="168"/>
      <c r="K34" s="168"/>
      <c r="L34" s="169"/>
      <c r="M34" s="163">
        <v>0.06</v>
      </c>
      <c r="N34" s="173"/>
      <c r="O34" s="163"/>
      <c r="P34" s="173"/>
      <c r="Q34" s="163"/>
      <c r="R34" s="173"/>
      <c r="S34" s="163"/>
      <c r="T34" s="173"/>
      <c r="U34" s="163"/>
      <c r="V34" s="173"/>
      <c r="W34" s="163"/>
      <c r="X34" s="173"/>
      <c r="Y34" s="163"/>
      <c r="Z34" s="173">
        <v>0.02</v>
      </c>
      <c r="AA34" s="163">
        <v>0.02</v>
      </c>
      <c r="AB34" s="173">
        <v>0.02</v>
      </c>
      <c r="AC34" s="163"/>
      <c r="AD34" s="173"/>
      <c r="AE34" s="183"/>
    </row>
    <row r="35" spans="1:31" s="17" customFormat="1" ht="15" customHeight="1" x14ac:dyDescent="0.3">
      <c r="A35" s="166"/>
      <c r="B35" s="170"/>
      <c r="C35" s="171"/>
      <c r="D35" s="171"/>
      <c r="E35" s="171"/>
      <c r="F35" s="171"/>
      <c r="G35" s="171"/>
      <c r="H35" s="171"/>
      <c r="I35" s="171"/>
      <c r="J35" s="171"/>
      <c r="K35" s="171"/>
      <c r="L35" s="172"/>
      <c r="M35" s="164"/>
      <c r="N35" s="164"/>
      <c r="O35" s="164"/>
      <c r="P35" s="164"/>
      <c r="Q35" s="164"/>
      <c r="R35" s="164"/>
      <c r="S35" s="164"/>
      <c r="T35" s="164"/>
      <c r="U35" s="164"/>
      <c r="V35" s="164"/>
      <c r="W35" s="164"/>
      <c r="X35" s="164"/>
      <c r="Y35" s="164"/>
      <c r="Z35" s="164"/>
      <c r="AA35" s="164"/>
      <c r="AB35" s="164"/>
      <c r="AC35" s="164"/>
      <c r="AD35" s="164"/>
      <c r="AE35" s="184"/>
    </row>
    <row r="36" spans="1:31" s="17" customFormat="1" ht="15" customHeight="1" x14ac:dyDescent="0.3">
      <c r="A36" s="165">
        <v>10</v>
      </c>
      <c r="B36" s="167" t="s">
        <v>257</v>
      </c>
      <c r="C36" s="168"/>
      <c r="D36" s="168"/>
      <c r="E36" s="168"/>
      <c r="F36" s="168"/>
      <c r="G36" s="168"/>
      <c r="H36" s="168"/>
      <c r="I36" s="168"/>
      <c r="J36" s="168"/>
      <c r="K36" s="168"/>
      <c r="L36" s="169"/>
      <c r="M36" s="163">
        <v>0.04</v>
      </c>
      <c r="N36" s="173"/>
      <c r="O36" s="163"/>
      <c r="P36" s="173"/>
      <c r="Q36" s="163"/>
      <c r="R36" s="173"/>
      <c r="S36" s="163"/>
      <c r="T36" s="173"/>
      <c r="U36" s="163"/>
      <c r="V36" s="173"/>
      <c r="W36" s="163"/>
      <c r="X36" s="173"/>
      <c r="Y36" s="163"/>
      <c r="Z36" s="173"/>
      <c r="AA36" s="163"/>
      <c r="AB36" s="173">
        <v>0.02</v>
      </c>
      <c r="AC36" s="163">
        <v>0.01</v>
      </c>
      <c r="AD36" s="173">
        <v>0.01</v>
      </c>
      <c r="AE36" s="183"/>
    </row>
    <row r="37" spans="1:31" s="17" customFormat="1" ht="15" customHeight="1" x14ac:dyDescent="0.3">
      <c r="A37" s="166"/>
      <c r="B37" s="170"/>
      <c r="C37" s="171"/>
      <c r="D37" s="171"/>
      <c r="E37" s="171"/>
      <c r="F37" s="171"/>
      <c r="G37" s="171"/>
      <c r="H37" s="171"/>
      <c r="I37" s="171"/>
      <c r="J37" s="171"/>
      <c r="K37" s="171"/>
      <c r="L37" s="172"/>
      <c r="M37" s="164"/>
      <c r="N37" s="164"/>
      <c r="O37" s="164"/>
      <c r="P37" s="164"/>
      <c r="Q37" s="164"/>
      <c r="R37" s="164"/>
      <c r="S37" s="164"/>
      <c r="T37" s="164"/>
      <c r="U37" s="164"/>
      <c r="V37" s="164"/>
      <c r="W37" s="164"/>
      <c r="X37" s="164"/>
      <c r="Y37" s="164"/>
      <c r="Z37" s="164"/>
      <c r="AA37" s="164"/>
      <c r="AB37" s="164"/>
      <c r="AC37" s="164"/>
      <c r="AD37" s="164"/>
      <c r="AE37" s="184"/>
    </row>
    <row r="38" spans="1:31" s="17" customFormat="1" ht="15" customHeight="1" x14ac:dyDescent="0.3">
      <c r="A38" s="165">
        <v>11</v>
      </c>
      <c r="B38" s="167"/>
      <c r="C38" s="168"/>
      <c r="D38" s="168"/>
      <c r="E38" s="168"/>
      <c r="F38" s="168"/>
      <c r="G38" s="168"/>
      <c r="H38" s="168"/>
      <c r="I38" s="168"/>
      <c r="J38" s="168"/>
      <c r="K38" s="168"/>
      <c r="L38" s="169"/>
      <c r="M38" s="163"/>
      <c r="N38" s="173"/>
      <c r="O38" s="163"/>
      <c r="P38" s="173"/>
      <c r="Q38" s="163"/>
      <c r="R38" s="173"/>
      <c r="S38" s="163"/>
      <c r="T38" s="173"/>
      <c r="U38" s="163"/>
      <c r="V38" s="173"/>
      <c r="W38" s="163"/>
      <c r="X38" s="173"/>
      <c r="Y38" s="163"/>
      <c r="Z38" s="173"/>
      <c r="AA38" s="163"/>
      <c r="AB38" s="173"/>
      <c r="AC38" s="163"/>
      <c r="AD38" s="173"/>
      <c r="AE38" s="183"/>
    </row>
    <row r="39" spans="1:31" s="17" customFormat="1" ht="15" customHeight="1" x14ac:dyDescent="0.3">
      <c r="A39" s="166"/>
      <c r="B39" s="170"/>
      <c r="C39" s="171"/>
      <c r="D39" s="171"/>
      <c r="E39" s="171"/>
      <c r="F39" s="171"/>
      <c r="G39" s="171"/>
      <c r="H39" s="171"/>
      <c r="I39" s="171"/>
      <c r="J39" s="171"/>
      <c r="K39" s="171"/>
      <c r="L39" s="172"/>
      <c r="M39" s="164"/>
      <c r="N39" s="164"/>
      <c r="O39" s="164"/>
      <c r="P39" s="164"/>
      <c r="Q39" s="164"/>
      <c r="R39" s="164"/>
      <c r="S39" s="164"/>
      <c r="T39" s="164"/>
      <c r="U39" s="164"/>
      <c r="V39" s="164"/>
      <c r="W39" s="164"/>
      <c r="X39" s="164"/>
      <c r="Y39" s="164"/>
      <c r="Z39" s="164"/>
      <c r="AA39" s="164"/>
      <c r="AB39" s="164"/>
      <c r="AC39" s="164"/>
      <c r="AD39" s="164"/>
      <c r="AE39" s="184"/>
    </row>
    <row r="40" spans="1:31" s="17" customFormat="1" ht="15" customHeight="1" x14ac:dyDescent="0.3">
      <c r="A40" s="165">
        <v>12</v>
      </c>
      <c r="B40" s="167"/>
      <c r="C40" s="168"/>
      <c r="D40" s="168"/>
      <c r="E40" s="168"/>
      <c r="F40" s="168"/>
      <c r="G40" s="168"/>
      <c r="H40" s="168"/>
      <c r="I40" s="168"/>
      <c r="J40" s="168"/>
      <c r="K40" s="168"/>
      <c r="L40" s="169"/>
      <c r="M40" s="163"/>
      <c r="N40" s="173"/>
      <c r="O40" s="163"/>
      <c r="P40" s="173"/>
      <c r="Q40" s="163"/>
      <c r="R40" s="173"/>
      <c r="S40" s="163"/>
      <c r="T40" s="173"/>
      <c r="U40" s="163"/>
      <c r="V40" s="173"/>
      <c r="W40" s="163"/>
      <c r="X40" s="173"/>
      <c r="Y40" s="163"/>
      <c r="Z40" s="173"/>
      <c r="AA40" s="163"/>
      <c r="AB40" s="173"/>
      <c r="AC40" s="163"/>
      <c r="AD40" s="173"/>
      <c r="AE40" s="183"/>
    </row>
    <row r="41" spans="1:31" s="17" customFormat="1" ht="15" customHeight="1" x14ac:dyDescent="0.3">
      <c r="A41" s="166"/>
      <c r="B41" s="170"/>
      <c r="C41" s="171"/>
      <c r="D41" s="171"/>
      <c r="E41" s="171"/>
      <c r="F41" s="171"/>
      <c r="G41" s="171"/>
      <c r="H41" s="171"/>
      <c r="I41" s="171"/>
      <c r="J41" s="171"/>
      <c r="K41" s="171"/>
      <c r="L41" s="172"/>
      <c r="M41" s="164"/>
      <c r="N41" s="164"/>
      <c r="O41" s="164"/>
      <c r="P41" s="164"/>
      <c r="Q41" s="164"/>
      <c r="R41" s="164"/>
      <c r="S41" s="164"/>
      <c r="T41" s="164"/>
      <c r="U41" s="164"/>
      <c r="V41" s="164"/>
      <c r="W41" s="164"/>
      <c r="X41" s="164"/>
      <c r="Y41" s="164"/>
      <c r="Z41" s="164"/>
      <c r="AA41" s="164"/>
      <c r="AB41" s="164"/>
      <c r="AC41" s="164"/>
      <c r="AD41" s="164"/>
      <c r="AE41" s="184"/>
    </row>
    <row r="42" spans="1:31" s="17" customFormat="1" ht="15" customHeight="1" x14ac:dyDescent="0.3">
      <c r="A42" s="165">
        <v>13</v>
      </c>
      <c r="B42" s="167"/>
      <c r="C42" s="168"/>
      <c r="D42" s="168"/>
      <c r="E42" s="168"/>
      <c r="F42" s="168"/>
      <c r="G42" s="168"/>
      <c r="H42" s="168"/>
      <c r="I42" s="168"/>
      <c r="J42" s="168"/>
      <c r="K42" s="168"/>
      <c r="L42" s="169"/>
      <c r="M42" s="163"/>
      <c r="N42" s="173"/>
      <c r="O42" s="163"/>
      <c r="P42" s="173"/>
      <c r="Q42" s="163"/>
      <c r="R42" s="173"/>
      <c r="S42" s="163"/>
      <c r="T42" s="173"/>
      <c r="U42" s="163"/>
      <c r="V42" s="173"/>
      <c r="W42" s="163"/>
      <c r="X42" s="173"/>
      <c r="Y42" s="163"/>
      <c r="Z42" s="173"/>
      <c r="AA42" s="163"/>
      <c r="AB42" s="173"/>
      <c r="AC42" s="163"/>
      <c r="AD42" s="173"/>
      <c r="AE42" s="183"/>
    </row>
    <row r="43" spans="1:31" s="17" customFormat="1" ht="15" customHeight="1" x14ac:dyDescent="0.3">
      <c r="A43" s="166"/>
      <c r="B43" s="170"/>
      <c r="C43" s="171"/>
      <c r="D43" s="171"/>
      <c r="E43" s="171"/>
      <c r="F43" s="171"/>
      <c r="G43" s="171"/>
      <c r="H43" s="171"/>
      <c r="I43" s="171"/>
      <c r="J43" s="171"/>
      <c r="K43" s="171"/>
      <c r="L43" s="172"/>
      <c r="M43" s="164"/>
      <c r="N43" s="164"/>
      <c r="O43" s="164"/>
      <c r="P43" s="164"/>
      <c r="Q43" s="164"/>
      <c r="R43" s="164"/>
      <c r="S43" s="164"/>
      <c r="T43" s="164"/>
      <c r="U43" s="164"/>
      <c r="V43" s="164"/>
      <c r="W43" s="164"/>
      <c r="X43" s="164"/>
      <c r="Y43" s="164"/>
      <c r="Z43" s="164"/>
      <c r="AA43" s="164"/>
      <c r="AB43" s="164"/>
      <c r="AC43" s="164"/>
      <c r="AD43" s="164"/>
      <c r="AE43" s="184"/>
    </row>
    <row r="44" spans="1:31" s="17" customFormat="1" ht="15" customHeight="1" x14ac:dyDescent="0.3">
      <c r="A44" s="165">
        <v>14</v>
      </c>
      <c r="B44" s="167"/>
      <c r="C44" s="168"/>
      <c r="D44" s="168"/>
      <c r="E44" s="168"/>
      <c r="F44" s="168"/>
      <c r="G44" s="168"/>
      <c r="H44" s="168"/>
      <c r="I44" s="168"/>
      <c r="J44" s="168"/>
      <c r="K44" s="168"/>
      <c r="L44" s="169"/>
      <c r="M44" s="232"/>
      <c r="N44" s="173"/>
      <c r="O44" s="163"/>
      <c r="P44" s="173"/>
      <c r="Q44" s="163"/>
      <c r="R44" s="173"/>
      <c r="S44" s="163"/>
      <c r="T44" s="173"/>
      <c r="U44" s="163"/>
      <c r="V44" s="173"/>
      <c r="W44" s="163"/>
      <c r="X44" s="173"/>
      <c r="Y44" s="163"/>
      <c r="Z44" s="173"/>
      <c r="AA44" s="163"/>
      <c r="AB44" s="173"/>
      <c r="AC44" s="163"/>
      <c r="AD44" s="173"/>
      <c r="AE44" s="183"/>
    </row>
    <row r="45" spans="1:31" s="17" customFormat="1" ht="15" customHeight="1" thickBot="1" x14ac:dyDescent="0.35">
      <c r="A45" s="166"/>
      <c r="B45" s="170"/>
      <c r="C45" s="171"/>
      <c r="D45" s="171"/>
      <c r="E45" s="171"/>
      <c r="F45" s="171"/>
      <c r="G45" s="171"/>
      <c r="H45" s="171"/>
      <c r="I45" s="171"/>
      <c r="J45" s="171"/>
      <c r="K45" s="171"/>
      <c r="L45" s="172"/>
      <c r="M45" s="233"/>
      <c r="N45" s="164"/>
      <c r="O45" s="164"/>
      <c r="P45" s="164"/>
      <c r="Q45" s="164"/>
      <c r="R45" s="164"/>
      <c r="S45" s="164"/>
      <c r="T45" s="164"/>
      <c r="U45" s="164"/>
      <c r="V45" s="164"/>
      <c r="W45" s="164"/>
      <c r="X45" s="164"/>
      <c r="Y45" s="164"/>
      <c r="Z45" s="164"/>
      <c r="AA45" s="164"/>
      <c r="AB45" s="164"/>
      <c r="AC45" s="164"/>
      <c r="AD45" s="164"/>
      <c r="AE45" s="184"/>
    </row>
    <row r="46" spans="1:31" s="17" customFormat="1" ht="15" customHeight="1" x14ac:dyDescent="0.3">
      <c r="A46" s="195" t="s">
        <v>84</v>
      </c>
      <c r="B46" s="178"/>
      <c r="C46" s="178"/>
      <c r="D46" s="178"/>
      <c r="E46" s="178"/>
      <c r="F46" s="178"/>
      <c r="G46" s="178"/>
      <c r="H46" s="178"/>
      <c r="I46" s="178"/>
      <c r="J46" s="178"/>
      <c r="K46" s="178"/>
      <c r="L46" s="179"/>
      <c r="M46" s="226">
        <f>SUM(M18,M20,M22,M24,M26,M28,M30,M32,M34,M36,M38,M40,M42,M44)</f>
        <v>1.0000000000000002</v>
      </c>
      <c r="N46" s="26">
        <f t="shared" ref="N46:AE46" si="0">SUM(N18:N45)</f>
        <v>0</v>
      </c>
      <c r="O46" s="38">
        <f t="shared" si="0"/>
        <v>0</v>
      </c>
      <c r="P46" s="26">
        <f t="shared" si="0"/>
        <v>0</v>
      </c>
      <c r="Q46" s="38">
        <f t="shared" si="0"/>
        <v>0.16</v>
      </c>
      <c r="R46" s="26">
        <f t="shared" si="0"/>
        <v>0.16</v>
      </c>
      <c r="S46" s="38">
        <f t="shared" si="0"/>
        <v>0.11000000000000001</v>
      </c>
      <c r="T46" s="26">
        <f t="shared" si="0"/>
        <v>0.1</v>
      </c>
      <c r="U46" s="38">
        <f t="shared" si="0"/>
        <v>0.08</v>
      </c>
      <c r="V46" s="26">
        <f t="shared" si="0"/>
        <v>9.0000000000000011E-2</v>
      </c>
      <c r="W46" s="38">
        <f t="shared" si="0"/>
        <v>9.0000000000000011E-2</v>
      </c>
      <c r="X46" s="26">
        <f t="shared" si="0"/>
        <v>7.0000000000000007E-2</v>
      </c>
      <c r="Y46" s="38">
        <f t="shared" si="0"/>
        <v>0.02</v>
      </c>
      <c r="Z46" s="26">
        <f t="shared" si="0"/>
        <v>0.04</v>
      </c>
      <c r="AA46" s="38">
        <f t="shared" si="0"/>
        <v>0.02</v>
      </c>
      <c r="AB46" s="26">
        <f t="shared" si="0"/>
        <v>0.04</v>
      </c>
      <c r="AC46" s="38">
        <f t="shared" si="0"/>
        <v>0.01</v>
      </c>
      <c r="AD46" s="26">
        <f t="shared" si="0"/>
        <v>0.01</v>
      </c>
      <c r="AE46" s="44">
        <f t="shared" si="0"/>
        <v>0</v>
      </c>
    </row>
    <row r="47" spans="1:31" s="29" customFormat="1" ht="15" customHeight="1" thickBot="1" x14ac:dyDescent="0.45">
      <c r="A47" s="196"/>
      <c r="B47" s="162"/>
      <c r="C47" s="162"/>
      <c r="D47" s="162"/>
      <c r="E47" s="162"/>
      <c r="F47" s="162"/>
      <c r="G47" s="162"/>
      <c r="H47" s="162"/>
      <c r="I47" s="162"/>
      <c r="J47" s="162"/>
      <c r="K47" s="162"/>
      <c r="L47" s="190"/>
      <c r="M47" s="227"/>
      <c r="N47" s="28">
        <f>N46</f>
        <v>0</v>
      </c>
      <c r="O47" s="27">
        <f t="shared" ref="O47:AE47" si="1">N47+O46</f>
        <v>0</v>
      </c>
      <c r="P47" s="28">
        <f t="shared" si="1"/>
        <v>0</v>
      </c>
      <c r="Q47" s="27">
        <f t="shared" si="1"/>
        <v>0.16</v>
      </c>
      <c r="R47" s="28">
        <f t="shared" si="1"/>
        <v>0.32</v>
      </c>
      <c r="S47" s="27">
        <f t="shared" si="1"/>
        <v>0.43000000000000005</v>
      </c>
      <c r="T47" s="28">
        <f t="shared" si="1"/>
        <v>0.53</v>
      </c>
      <c r="U47" s="27">
        <f t="shared" si="1"/>
        <v>0.61</v>
      </c>
      <c r="V47" s="28">
        <f t="shared" si="1"/>
        <v>0.7</v>
      </c>
      <c r="W47" s="27">
        <f t="shared" si="1"/>
        <v>0.78999999999999992</v>
      </c>
      <c r="X47" s="28">
        <f t="shared" si="1"/>
        <v>0.85999999999999988</v>
      </c>
      <c r="Y47" s="27">
        <f t="shared" si="1"/>
        <v>0.87999999999999989</v>
      </c>
      <c r="Z47" s="28">
        <f t="shared" si="1"/>
        <v>0.91999999999999993</v>
      </c>
      <c r="AA47" s="27">
        <f t="shared" si="1"/>
        <v>0.94</v>
      </c>
      <c r="AB47" s="28">
        <f t="shared" si="1"/>
        <v>0.98</v>
      </c>
      <c r="AC47" s="27">
        <f t="shared" si="1"/>
        <v>0.99</v>
      </c>
      <c r="AD47" s="28">
        <f t="shared" si="1"/>
        <v>1</v>
      </c>
      <c r="AE47" s="45">
        <f t="shared" si="1"/>
        <v>1</v>
      </c>
    </row>
    <row r="48" spans="1:31" s="17" customFormat="1" ht="15" customHeight="1" x14ac:dyDescent="0.45">
      <c r="A48" s="30" t="s">
        <v>85</v>
      </c>
      <c r="B48" s="31"/>
      <c r="C48" s="31"/>
      <c r="G48" s="32"/>
      <c r="R48" s="18"/>
      <c r="T48" s="33"/>
      <c r="U48" s="33"/>
      <c r="W48" s="34"/>
      <c r="X48" s="34"/>
      <c r="Y48" s="34"/>
      <c r="Z48" s="34"/>
      <c r="AA48" s="34"/>
      <c r="AB48" s="34"/>
      <c r="AC48" s="34"/>
      <c r="AD48" s="34"/>
      <c r="AE48" s="34"/>
    </row>
  </sheetData>
  <mergeCells count="331">
    <mergeCell ref="B44:L45"/>
    <mergeCell ref="T44:T45"/>
    <mergeCell ref="V44:V45"/>
    <mergeCell ref="R30:R31"/>
    <mergeCell ref="S24:S25"/>
    <mergeCell ref="Z28:Z29"/>
    <mergeCell ref="O44:O45"/>
    <mergeCell ref="Q44:Q45"/>
    <mergeCell ref="B28:L29"/>
    <mergeCell ref="B40:L41"/>
    <mergeCell ref="Y42:Y43"/>
    <mergeCell ref="X42:X43"/>
    <mergeCell ref="Z44:Z45"/>
    <mergeCell ref="Y44:Y45"/>
    <mergeCell ref="S38:S39"/>
    <mergeCell ref="O40:O41"/>
    <mergeCell ref="B30:L31"/>
    <mergeCell ref="Q40:Q41"/>
    <mergeCell ref="V36:V37"/>
    <mergeCell ref="M28:M29"/>
    <mergeCell ref="B32:L33"/>
    <mergeCell ref="M44:M45"/>
    <mergeCell ref="N44:N45"/>
    <mergeCell ref="E12:F14"/>
    <mergeCell ref="E8:P9"/>
    <mergeCell ref="S34:S35"/>
    <mergeCell ref="AD32:AD33"/>
    <mergeCell ref="M18:M19"/>
    <mergeCell ref="U42:U43"/>
    <mergeCell ref="W42:W43"/>
    <mergeCell ref="V22:V23"/>
    <mergeCell ref="S44:S45"/>
    <mergeCell ref="U44:U45"/>
    <mergeCell ref="W44:W45"/>
    <mergeCell ref="T38:T39"/>
    <mergeCell ref="V38:V39"/>
    <mergeCell ref="AA34:AA35"/>
    <mergeCell ref="AA28:AA29"/>
    <mergeCell ref="AC28:AC29"/>
    <mergeCell ref="T40:T41"/>
    <mergeCell ref="V40:V41"/>
    <mergeCell ref="AA30:AA31"/>
    <mergeCell ref="AC30:AC31"/>
    <mergeCell ref="B20:L21"/>
    <mergeCell ref="P36:P37"/>
    <mergeCell ref="U32:U33"/>
    <mergeCell ref="M40:M41"/>
    <mergeCell ref="W18:W19"/>
    <mergeCell ref="B22:L23"/>
    <mergeCell ref="X22:X23"/>
    <mergeCell ref="U26:U27"/>
    <mergeCell ref="Y20:Y21"/>
    <mergeCell ref="W22:W23"/>
    <mergeCell ref="T26:T27"/>
    <mergeCell ref="Y22:Y23"/>
    <mergeCell ref="N22:N23"/>
    <mergeCell ref="P22:P23"/>
    <mergeCell ref="AE18:AE19"/>
    <mergeCell ref="M46:M47"/>
    <mergeCell ref="AA36:AA37"/>
    <mergeCell ref="S9:AE10"/>
    <mergeCell ref="R26:R27"/>
    <mergeCell ref="S32:S33"/>
    <mergeCell ref="U38:U39"/>
    <mergeCell ref="Z34:Z35"/>
    <mergeCell ref="M38:M39"/>
    <mergeCell ref="W38:W39"/>
    <mergeCell ref="O38:O39"/>
    <mergeCell ref="X36:X37"/>
    <mergeCell ref="Z36:Z37"/>
    <mergeCell ref="U40:U41"/>
    <mergeCell ref="W40:W41"/>
    <mergeCell ref="Z30:Z31"/>
    <mergeCell ref="G14:M14"/>
    <mergeCell ref="AB30:AB31"/>
    <mergeCell ref="R24:R25"/>
    <mergeCell ref="W20:W21"/>
    <mergeCell ref="X20:X21"/>
    <mergeCell ref="U24:U25"/>
    <mergeCell ref="Z20:Z21"/>
    <mergeCell ref="M24:M25"/>
    <mergeCell ref="AE38:AE39"/>
    <mergeCell ref="R42:R43"/>
    <mergeCell ref="R32:R33"/>
    <mergeCell ref="A22:A23"/>
    <mergeCell ref="N38:N39"/>
    <mergeCell ref="Q42:Q43"/>
    <mergeCell ref="S42:S43"/>
    <mergeCell ref="AB28:AB29"/>
    <mergeCell ref="B38:L39"/>
    <mergeCell ref="R34:R35"/>
    <mergeCell ref="R28:R29"/>
    <mergeCell ref="S8:AE8"/>
    <mergeCell ref="Y36:Y37"/>
    <mergeCell ref="AE20:AE21"/>
    <mergeCell ref="N40:N41"/>
    <mergeCell ref="AB24:AB25"/>
    <mergeCell ref="AD24:AD25"/>
    <mergeCell ref="AD18:AD19"/>
    <mergeCell ref="M34:M35"/>
    <mergeCell ref="Q12:R12"/>
    <mergeCell ref="Z32:Z33"/>
    <mergeCell ref="AE22:AE23"/>
    <mergeCell ref="O36:O37"/>
    <mergeCell ref="O30:O31"/>
    <mergeCell ref="S13:AE14"/>
    <mergeCell ref="Y34:Y35"/>
    <mergeCell ref="V20:V21"/>
    <mergeCell ref="S18:S19"/>
    <mergeCell ref="Q26:Q27"/>
    <mergeCell ref="V28:V29"/>
    <mergeCell ref="Q8:R8"/>
    <mergeCell ref="M22:M23"/>
    <mergeCell ref="AC20:AC21"/>
    <mergeCell ref="AB26:AB27"/>
    <mergeCell ref="AA40:AA41"/>
    <mergeCell ref="C10:D10"/>
    <mergeCell ref="G11:M11"/>
    <mergeCell ref="A3:AE6"/>
    <mergeCell ref="Q11:AE11"/>
    <mergeCell ref="N28:N29"/>
    <mergeCell ref="AC40:AC41"/>
    <mergeCell ref="AE40:AE41"/>
    <mergeCell ref="AD22:AD23"/>
    <mergeCell ref="N30:N31"/>
    <mergeCell ref="S26:S27"/>
    <mergeCell ref="P30:P31"/>
    <mergeCell ref="O34:O35"/>
    <mergeCell ref="M20:M21"/>
    <mergeCell ref="AB32:AB33"/>
    <mergeCell ref="AD38:AD39"/>
    <mergeCell ref="AB40:AB41"/>
    <mergeCell ref="AD40:AD41"/>
    <mergeCell ref="P28:P29"/>
    <mergeCell ref="Y28:Y29"/>
    <mergeCell ref="P18:P19"/>
    <mergeCell ref="A38:A39"/>
    <mergeCell ref="Q32:Q33"/>
    <mergeCell ref="N36:N37"/>
    <mergeCell ref="A40:A41"/>
    <mergeCell ref="C11:D11"/>
    <mergeCell ref="R18:R19"/>
    <mergeCell ref="E11:F11"/>
    <mergeCell ref="N34:N35"/>
    <mergeCell ref="Y32:Y33"/>
    <mergeCell ref="AA32:AA33"/>
    <mergeCell ref="AA24:AA25"/>
    <mergeCell ref="X28:X29"/>
    <mergeCell ref="G12:M12"/>
    <mergeCell ref="Z18:Z19"/>
    <mergeCell ref="AA20:AA21"/>
    <mergeCell ref="W34:W35"/>
    <mergeCell ref="N11:P12"/>
    <mergeCell ref="O24:O25"/>
    <mergeCell ref="Q18:Q19"/>
    <mergeCell ref="Z22:Z23"/>
    <mergeCell ref="W26:W27"/>
    <mergeCell ref="O26:O27"/>
    <mergeCell ref="T20:T21"/>
    <mergeCell ref="Q24:Q25"/>
    <mergeCell ref="Z24:Z25"/>
    <mergeCell ref="O28:O29"/>
    <mergeCell ref="T24:T25"/>
    <mergeCell ref="Q28:Q29"/>
    <mergeCell ref="B1:I1"/>
    <mergeCell ref="Z42:Z43"/>
    <mergeCell ref="V26:V27"/>
    <mergeCell ref="X44:X45"/>
    <mergeCell ref="Q7:AE7"/>
    <mergeCell ref="AA18:AA19"/>
    <mergeCell ref="E7:P7"/>
    <mergeCell ref="T30:T31"/>
    <mergeCell ref="A8:D8"/>
    <mergeCell ref="A36:A37"/>
    <mergeCell ref="AD34:AD35"/>
    <mergeCell ref="S28:S29"/>
    <mergeCell ref="Q30:Q31"/>
    <mergeCell ref="S30:S31"/>
    <mergeCell ref="T34:T35"/>
    <mergeCell ref="AE32:AE33"/>
    <mergeCell ref="AB20:AB21"/>
    <mergeCell ref="Y24:Y25"/>
    <mergeCell ref="AD20:AD21"/>
    <mergeCell ref="AE30:AE31"/>
    <mergeCell ref="T36:T37"/>
    <mergeCell ref="AE36:AE37"/>
    <mergeCell ref="W32:W33"/>
    <mergeCell ref="C9:D9"/>
    <mergeCell ref="A46:L47"/>
    <mergeCell ref="G13:M13"/>
    <mergeCell ref="Y38:Y39"/>
    <mergeCell ref="O18:O19"/>
    <mergeCell ref="Q9:R10"/>
    <mergeCell ref="P38:P39"/>
    <mergeCell ref="U34:U35"/>
    <mergeCell ref="R38:R39"/>
    <mergeCell ref="E10:P10"/>
    <mergeCell ref="X32:X33"/>
    <mergeCell ref="B24:L25"/>
    <mergeCell ref="P40:P41"/>
    <mergeCell ref="U36:U37"/>
    <mergeCell ref="R40:R41"/>
    <mergeCell ref="X24:X25"/>
    <mergeCell ref="R20:R21"/>
    <mergeCell ref="B17:L17"/>
    <mergeCell ref="M32:M33"/>
    <mergeCell ref="R22:R23"/>
    <mergeCell ref="T22:T23"/>
    <mergeCell ref="Y18:Y19"/>
    <mergeCell ref="N16:AE16"/>
    <mergeCell ref="N26:N27"/>
    <mergeCell ref="N18:N19"/>
    <mergeCell ref="S12:AE12"/>
    <mergeCell ref="Q13:R14"/>
    <mergeCell ref="A15:AE15"/>
    <mergeCell ref="AA22:AA23"/>
    <mergeCell ref="N13:P14"/>
    <mergeCell ref="AC22:AC23"/>
    <mergeCell ref="W24:W25"/>
    <mergeCell ref="AA26:AA27"/>
    <mergeCell ref="AC26:AC27"/>
    <mergeCell ref="N24:N25"/>
    <mergeCell ref="S20:S21"/>
    <mergeCell ref="P24:P25"/>
    <mergeCell ref="U20:U21"/>
    <mergeCell ref="S22:S23"/>
    <mergeCell ref="P26:P27"/>
    <mergeCell ref="AE26:AE27"/>
    <mergeCell ref="O20:O21"/>
    <mergeCell ref="Q20:Q21"/>
    <mergeCell ref="Q22:Q23"/>
    <mergeCell ref="C12:D12"/>
    <mergeCell ref="AB18:AB19"/>
    <mergeCell ref="T18:T19"/>
    <mergeCell ref="V18:V19"/>
    <mergeCell ref="Z26:Z27"/>
    <mergeCell ref="A18:A19"/>
    <mergeCell ref="AC18:AC19"/>
    <mergeCell ref="AB22:AB23"/>
    <mergeCell ref="Y26:Y27"/>
    <mergeCell ref="AD28:AD29"/>
    <mergeCell ref="A20:A21"/>
    <mergeCell ref="AE24:AE25"/>
    <mergeCell ref="O22:O23"/>
    <mergeCell ref="AE42:AE43"/>
    <mergeCell ref="AA38:AA39"/>
    <mergeCell ref="P34:P35"/>
    <mergeCell ref="AA42:AA43"/>
    <mergeCell ref="O32:O33"/>
    <mergeCell ref="N42:N43"/>
    <mergeCell ref="AB36:AB37"/>
    <mergeCell ref="Y40:Y41"/>
    <mergeCell ref="AD36:AD37"/>
    <mergeCell ref="AD30:AD31"/>
    <mergeCell ref="T32:T33"/>
    <mergeCell ref="S40:S41"/>
    <mergeCell ref="V30:V31"/>
    <mergeCell ref="X30:X31"/>
    <mergeCell ref="P32:P33"/>
    <mergeCell ref="AC42:AC43"/>
    <mergeCell ref="B42:L43"/>
    <mergeCell ref="T42:T43"/>
    <mergeCell ref="AD42:AD43"/>
    <mergeCell ref="V42:V43"/>
    <mergeCell ref="N32:N33"/>
    <mergeCell ref="A24:A25"/>
    <mergeCell ref="B34:L35"/>
    <mergeCell ref="B36:L37"/>
    <mergeCell ref="V24:V25"/>
    <mergeCell ref="A34:A35"/>
    <mergeCell ref="A26:A27"/>
    <mergeCell ref="X26:X27"/>
    <mergeCell ref="AD26:AD27"/>
    <mergeCell ref="M26:M27"/>
    <mergeCell ref="AB42:AB43"/>
    <mergeCell ref="R36:R37"/>
    <mergeCell ref="M36:M37"/>
    <mergeCell ref="M30:M31"/>
    <mergeCell ref="W36:W37"/>
    <mergeCell ref="A32:A33"/>
    <mergeCell ref="AB34:AB35"/>
    <mergeCell ref="AC24:AC25"/>
    <mergeCell ref="AC38:AC39"/>
    <mergeCell ref="AE34:AE35"/>
    <mergeCell ref="M42:M43"/>
    <mergeCell ref="AE28:AE29"/>
    <mergeCell ref="AB38:AB39"/>
    <mergeCell ref="O42:O43"/>
    <mergeCell ref="X40:X41"/>
    <mergeCell ref="AB44:AB45"/>
    <mergeCell ref="AD44:AD45"/>
    <mergeCell ref="U28:U29"/>
    <mergeCell ref="AC32:AC33"/>
    <mergeCell ref="T28:T29"/>
    <mergeCell ref="X38:X39"/>
    <mergeCell ref="AC34:AC35"/>
    <mergeCell ref="Z38:Z39"/>
    <mergeCell ref="U30:U31"/>
    <mergeCell ref="W30:W31"/>
    <mergeCell ref="Y30:Y31"/>
    <mergeCell ref="X34:X35"/>
    <mergeCell ref="AC36:AC37"/>
    <mergeCell ref="Z40:Z41"/>
    <mergeCell ref="W28:W29"/>
    <mergeCell ref="AA44:AA45"/>
    <mergeCell ref="AC44:AC45"/>
    <mergeCell ref="AE44:AE45"/>
    <mergeCell ref="B2:I2"/>
    <mergeCell ref="U18:U19"/>
    <mergeCell ref="Q34:Q35"/>
    <mergeCell ref="A42:A43"/>
    <mergeCell ref="B26:L27"/>
    <mergeCell ref="Q36:Q37"/>
    <mergeCell ref="V32:V33"/>
    <mergeCell ref="S36:S37"/>
    <mergeCell ref="A44:A45"/>
    <mergeCell ref="B18:L19"/>
    <mergeCell ref="N20:N21"/>
    <mergeCell ref="P20:P21"/>
    <mergeCell ref="C13:D13"/>
    <mergeCell ref="A7:D7"/>
    <mergeCell ref="U22:U23"/>
    <mergeCell ref="B16:L16"/>
    <mergeCell ref="C14:D14"/>
    <mergeCell ref="A28:A29"/>
    <mergeCell ref="P42:P43"/>
    <mergeCell ref="A30:A31"/>
    <mergeCell ref="P44:P45"/>
    <mergeCell ref="R44:R45"/>
    <mergeCell ref="Q38:Q39"/>
    <mergeCell ref="V34:V35"/>
  </mergeCells>
  <printOptions horizontalCentered="1" verticalCentered="1"/>
  <pageMargins left="0.25" right="0.25" top="0.75" bottom="0.75" header="0.3" footer="0.3"/>
  <pageSetup scale="55" orientation="landscape"/>
  <headerFooter alignWithMargins="0">
    <oddFooter>&amp;CPage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G18"/>
  <sheetViews>
    <sheetView workbookViewId="0">
      <selection activeCell="B23" sqref="B23"/>
    </sheetView>
  </sheetViews>
  <sheetFormatPr defaultColWidth="9.35546875" defaultRowHeight="15.4" x14ac:dyDescent="0.45"/>
  <cols>
    <col min="1" max="1" width="29" style="39" bestFit="1" customWidth="1"/>
    <col min="2" max="2" width="31.2109375" style="39" bestFit="1" customWidth="1"/>
    <col min="3" max="3" width="129.640625" style="39" customWidth="1"/>
    <col min="4" max="4" width="9.35546875" style="39" customWidth="1"/>
    <col min="5" max="16384" width="9.35546875" style="39"/>
  </cols>
  <sheetData>
    <row r="1" spans="1:7" x14ac:dyDescent="0.45">
      <c r="A1" s="234" t="s">
        <v>86</v>
      </c>
      <c r="B1" s="171"/>
      <c r="C1" s="171"/>
    </row>
    <row r="2" spans="1:7" x14ac:dyDescent="0.45">
      <c r="A2" s="40" t="s">
        <v>87</v>
      </c>
      <c r="B2" s="40" t="s">
        <v>88</v>
      </c>
      <c r="C2" s="40" t="s">
        <v>89</v>
      </c>
    </row>
    <row r="3" spans="1:7" x14ac:dyDescent="0.45">
      <c r="A3" s="40" t="s">
        <v>90</v>
      </c>
      <c r="B3" s="40" t="s">
        <v>91</v>
      </c>
      <c r="C3" s="40" t="s">
        <v>92</v>
      </c>
    </row>
    <row r="4" spans="1:7" x14ac:dyDescent="0.45">
      <c r="A4" s="40" t="s">
        <v>93</v>
      </c>
      <c r="B4" s="40" t="s">
        <v>94</v>
      </c>
      <c r="C4" s="40" t="s">
        <v>95</v>
      </c>
    </row>
    <row r="5" spans="1:7" x14ac:dyDescent="0.45">
      <c r="A5" s="40" t="s">
        <v>96</v>
      </c>
      <c r="B5" s="40" t="s">
        <v>97</v>
      </c>
      <c r="C5" s="40" t="s">
        <v>98</v>
      </c>
    </row>
    <row r="6" spans="1:7" x14ac:dyDescent="0.45">
      <c r="A6" s="40" t="s">
        <v>99</v>
      </c>
      <c r="B6" s="40" t="s">
        <v>100</v>
      </c>
      <c r="C6" s="40" t="s">
        <v>101</v>
      </c>
      <c r="G6" s="39" t="s">
        <v>102</v>
      </c>
    </row>
    <row r="7" spans="1:7" x14ac:dyDescent="0.45">
      <c r="A7" s="40" t="s">
        <v>103</v>
      </c>
      <c r="B7" s="40" t="s">
        <v>104</v>
      </c>
      <c r="C7" s="40" t="s">
        <v>105</v>
      </c>
    </row>
    <row r="8" spans="1:7" x14ac:dyDescent="0.45">
      <c r="A8" s="40" t="s">
        <v>106</v>
      </c>
      <c r="B8" s="40" t="s">
        <v>107</v>
      </c>
      <c r="C8" s="40" t="s">
        <v>108</v>
      </c>
    </row>
    <row r="9" spans="1:7" x14ac:dyDescent="0.45">
      <c r="A9" s="40" t="s">
        <v>109</v>
      </c>
      <c r="B9" s="40" t="s">
        <v>110</v>
      </c>
      <c r="C9" s="40" t="s">
        <v>111</v>
      </c>
    </row>
    <row r="10" spans="1:7" ht="78" customHeight="1" x14ac:dyDescent="0.45">
      <c r="A10" s="40" t="s">
        <v>112</v>
      </c>
      <c r="B10" s="40" t="s">
        <v>113</v>
      </c>
      <c r="C10" s="41" t="s">
        <v>114</v>
      </c>
    </row>
    <row r="11" spans="1:7" x14ac:dyDescent="0.45">
      <c r="A11" s="40" t="s">
        <v>115</v>
      </c>
      <c r="B11" s="40" t="s">
        <v>116</v>
      </c>
      <c r="C11" s="40" t="s">
        <v>117</v>
      </c>
    </row>
    <row r="12" spans="1:7" x14ac:dyDescent="0.45">
      <c r="A12" s="40" t="s">
        <v>118</v>
      </c>
      <c r="B12" s="40" t="s">
        <v>119</v>
      </c>
      <c r="C12" s="40" t="s">
        <v>120</v>
      </c>
    </row>
    <row r="13" spans="1:7" x14ac:dyDescent="0.45">
      <c r="A13" s="40" t="s">
        <v>121</v>
      </c>
      <c r="B13" s="40" t="s">
        <v>122</v>
      </c>
      <c r="C13" s="40" t="s">
        <v>123</v>
      </c>
    </row>
    <row r="14" spans="1:7" x14ac:dyDescent="0.45">
      <c r="A14" s="40" t="s">
        <v>124</v>
      </c>
      <c r="B14" s="40" t="s">
        <v>125</v>
      </c>
      <c r="C14" s="40" t="s">
        <v>126</v>
      </c>
    </row>
    <row r="15" spans="1:7" ht="30.75" customHeight="1" x14ac:dyDescent="0.45">
      <c r="A15" s="40" t="s">
        <v>127</v>
      </c>
      <c r="B15" s="40" t="s">
        <v>128</v>
      </c>
      <c r="C15" s="41" t="s">
        <v>129</v>
      </c>
    </row>
    <row r="16" spans="1:7" ht="30.75" customHeight="1" x14ac:dyDescent="0.45">
      <c r="A16" s="40" t="s">
        <v>130</v>
      </c>
      <c r="B16" s="40" t="s">
        <v>131</v>
      </c>
      <c r="C16" s="41" t="s">
        <v>132</v>
      </c>
    </row>
    <row r="17" spans="1:3" ht="51.75" customHeight="1" x14ac:dyDescent="0.45">
      <c r="A17" s="40" t="s">
        <v>133</v>
      </c>
      <c r="B17" s="40" t="s">
        <v>134</v>
      </c>
      <c r="C17" s="41" t="s">
        <v>135</v>
      </c>
    </row>
    <row r="18" spans="1:3" x14ac:dyDescent="0.45">
      <c r="A18" s="235" t="s">
        <v>136</v>
      </c>
      <c r="B18" s="175"/>
      <c r="C18" s="40" t="s">
        <v>137</v>
      </c>
    </row>
  </sheetData>
  <mergeCells count="2">
    <mergeCell ref="A1:C1"/>
    <mergeCell ref="A18:B18"/>
  </mergeCells>
  <pageMargins left="0.7" right="0.7" top="0.75" bottom="0.75" header="0.3" footer="0.3"/>
  <pageSetup scale="7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Monthly Billing</vt:lpstr>
      <vt:lpstr>POC Calc</vt:lpstr>
      <vt:lpstr>BOM</vt:lpstr>
      <vt:lpstr>3064</vt:lpstr>
      <vt:lpstr>AF3064 Instructions</vt:lpstr>
      <vt:lpstr>'3064'!Print_Area</vt:lpstr>
      <vt:lpstr>'AF3064 Instructions'!Print_Area</vt:lpstr>
      <vt:lpstr>'3064'!Print_Titles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 form 3064 (Excel version)</dc:title>
  <dc:subject>CONTRACT PROGRESS SCHEDULE</dc:subject>
  <dc:creator>42 CES - TSgt Surls</dc:creator>
  <cp:keywords>3064</cp:keywords>
  <dc:description>CREATED 15 NOV 99 BY TSGT SURLS_x000d_
42 CES/CECS, MAFB, AL._x000d_
DSN 493-3115</dc:description>
  <cp:lastModifiedBy>Timothy Collins</cp:lastModifiedBy>
  <cp:lastPrinted>2025-06-16T16:19:26Z</cp:lastPrinted>
  <dcterms:created xsi:type="dcterms:W3CDTF">1999-11-10T16:41:56Z</dcterms:created>
  <dcterms:modified xsi:type="dcterms:W3CDTF">2026-04-06T15:58:10Z</dcterms:modified>
  <cp:category>AIR FORCE FORM</cp:category>
</cp:coreProperties>
</file>